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Purchases" sheetId="2" state="visible" r:id="rId4"/>
    <sheet name="Lists" sheetId="3" state="visible" r:id="rId5"/>
  </sheets>
  <definedNames>
    <definedName function="false" hidden="true" localSheetId="1" name="_xlnm._FilterDatabase" vbProcedure="false">Purchases!$A$4:$L$80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<sst xmlns="http://schemas.openxmlformats.org/spreadsheetml/2006/main" count="330" uniqueCount="159">
  <si>
    <t xml:space="preserve">Halloween Animatronic — budget</t>
  </si>
  <si>
    <t xml:space="preserve">Halloween 2026 build. Totals update from the Purchases tab.</t>
  </si>
  <si>
    <t xml:space="preserve">Budget cap ($)</t>
  </si>
  <si>
    <t xml:space="preserve">← enter your total budget</t>
  </si>
  <si>
    <t xml:space="preserve">Spent: ordered + arrived ($)</t>
  </si>
  <si>
    <t xml:space="preserve">Still to buy, priced so far ($)</t>
  </si>
  <si>
    <t xml:space="preserve">Projected total ($)</t>
  </si>
  <si>
    <t xml:space="preserve">Left in budget ($)</t>
  </si>
  <si>
    <t xml:space="preserve">Rows still missing a price</t>
  </si>
  <si>
    <t xml:space="preserve">Items still to buy</t>
  </si>
  <si>
    <t xml:space="preserve">By category</t>
  </si>
  <si>
    <t xml:space="preserve">Category</t>
  </si>
  <si>
    <t xml:space="preserve">Spent ($)</t>
  </si>
  <si>
    <t xml:space="preserve">To buy ($)</t>
  </si>
  <si>
    <t xml:space="preserve">Total ($)</t>
  </si>
  <si>
    <t xml:space="preserve">Unpriced rows</t>
  </si>
  <si>
    <t xml:space="preserve">Total</t>
  </si>
  <si>
    <t xml:space="preserve">How to use: in Purchases, fill the blue cells (Qty, Unit price, Shipping &amp; tax, Link) and set Status. Example row: Qty 2, Unit price 18.99, Shipping &amp; tax 2.47 → Total 40.45.</t>
  </si>
  <si>
    <t xml:space="preserve">Rows marked "To buy" are shaded amber; "Arrived" rows are shaded green. Prices are blank until you send the links.</t>
  </si>
  <si>
    <t xml:space="preserve">Halloween Animatronic — purchases</t>
  </si>
  <si>
    <t xml:space="preserve">Blue cells are inputs: fill in Unit price, Shipping &amp; tax and Link for each row. Total is calculated. Add new rows inside the table (above row 80).</t>
  </si>
  <si>
    <t xml:space="preserve">Item</t>
  </si>
  <si>
    <t xml:space="preserve">Qty</t>
  </si>
  <si>
    <t xml:space="preserve">Unit price ($)</t>
  </si>
  <si>
    <t xml:space="preserve">Shipping &amp; tax ($)</t>
  </si>
  <si>
    <t xml:space="preserve">Status</t>
  </si>
  <si>
    <t xml:space="preserve">Arrives</t>
  </si>
  <si>
    <t xml:space="preserve">Store</t>
  </si>
  <si>
    <t xml:space="preserve">Link</t>
  </si>
  <si>
    <t xml:space="preserve">Tracker task</t>
  </si>
  <si>
    <t xml:space="preserve">Notes</t>
  </si>
  <si>
    <t xml:space="preserve">Silicone &amp; skin</t>
  </si>
  <si>
    <t xml:space="preserve">Nylon mesh fabric (black)</t>
  </si>
  <si>
    <t xml:space="preserve">Ordered</t>
  </si>
  <si>
    <t xml:space="preserve">Thu Oct 15</t>
  </si>
  <si>
    <t xml:space="preserve">Amazon</t>
  </si>
  <si>
    <t xml:space="preserve">P2: nylon mesh &amp; fabric</t>
  </si>
  <si>
    <t xml:space="preserve">Snap-pad reinforcement.</t>
  </si>
  <si>
    <t xml:space="preserve">Electronics</t>
  </si>
  <si>
    <t xml:space="preserve">Raspberry Pi Pico</t>
  </si>
  <si>
    <t xml:space="preserve">P2: two Pico H</t>
  </si>
  <si>
    <t xml:space="preserve">Hardware</t>
  </si>
  <si>
    <t xml:space="preserve">Screw and nut assortment kit</t>
  </si>
  <si>
    <t xml:space="preserve">P2: screws, bolts, washers, inserts</t>
  </si>
  <si>
    <t xml:space="preserve">Check it covers M2/M3/M4. Shoulder bolts are probably separate.</t>
  </si>
  <si>
    <t xml:space="preserve">Tools &amp; workshop</t>
  </si>
  <si>
    <t xml:space="preserve">Clamp-arm ring light desk lamp</t>
  </si>
  <si>
    <t xml:space="preserve">Brass heat-set insert assortment</t>
  </si>
  <si>
    <t xml:space="preserve">Nylon webbing strap (black)</t>
  </si>
  <si>
    <t xml:space="preserve">Stronger fabric tab for snap Test B.</t>
  </si>
  <si>
    <t xml:space="preserve">Finishing</t>
  </si>
  <si>
    <t xml:space="preserve">EOVEA shaggy faux fur fabric (grey)</t>
  </si>
  <si>
    <t xml:space="preserve">P11: hair (after Halloween)</t>
  </si>
  <si>
    <t xml:space="preserve">Arrival date not in the screenshot.</t>
  </si>
  <si>
    <t xml:space="preserve">Raspberry Pi Pico board with headers (listing 1)</t>
  </si>
  <si>
    <t xml:space="preserve">Sat Oct 17</t>
  </si>
  <si>
    <t xml:space="preserve">Raspberry Pi Pico board with headers (listing 2)</t>
  </si>
  <si>
    <t xml:space="preserve">Smooth-On Silc Pig pigment set</t>
  </si>
  <si>
    <t xml:space="preserve">P2: silicone pigments</t>
  </si>
  <si>
    <t xml:space="preserve">Servos</t>
  </si>
  <si>
    <t xml:space="preserve">MG90S micro servo pack</t>
  </si>
  <si>
    <t xml:space="preserve">P2: receive &amp; inspect servos</t>
  </si>
  <si>
    <t xml:space="preserve">Qty = 2 packs. Put the pack price in Unit price.</t>
  </si>
  <si>
    <t xml:space="preserve">MG996R servo 4-pack</t>
  </si>
  <si>
    <t xml:space="preserve">Mold-making</t>
  </si>
  <si>
    <t xml:space="preserve">Ultracal 30 gypsum cement</t>
  </si>
  <si>
    <t xml:space="preserve">P2: gypsum mold material</t>
  </si>
  <si>
    <t xml:space="preserve">Needed by Oct 23.</t>
  </si>
  <si>
    <t xml:space="preserve">7 mm sew-on snaps</t>
  </si>
  <si>
    <t xml:space="preserve">P2/P6: sew-on snaps</t>
  </si>
  <si>
    <t xml:space="preserve">Ticked as ordered in the tracker; not in the screenshots.</t>
  </si>
  <si>
    <t xml:space="preserve">Ecoflex 00-30 (or PlatSil Gel-OO30)</t>
  </si>
  <si>
    <t xml:space="preserve">To buy</t>
  </si>
  <si>
    <t xml:space="preserve">P2: silicone</t>
  </si>
  <si>
    <t xml:space="preserve">NEEDED SAT OCT 17 for snap coupons. Enough for coupons + 2 face casts.</t>
  </si>
  <si>
    <t xml:space="preserve">Mold release, sealer and silicone thickener</t>
  </si>
  <si>
    <t xml:space="preserve">P2: thickener, sealer, release</t>
  </si>
  <si>
    <t xml:space="preserve">Needed Sat Oct 17.</t>
  </si>
  <si>
    <t xml:space="preserve">Mixing cups, sticks, brushes, scale, gloves</t>
  </si>
  <si>
    <t xml:space="preserve">P2: mixing &amp; mold tools</t>
  </si>
  <si>
    <t xml:space="preserve">Sculpting</t>
  </si>
  <si>
    <t xml:space="preserve">Sulfur-free sculpting clay (Monster Clay / Chavant NSP)</t>
  </si>
  <si>
    <t xml:space="preserve">P2: sculpting clay</t>
  </si>
  <si>
    <t xml:space="preserve">Needed by Oct 21.</t>
  </si>
  <si>
    <t xml:space="preserve">Power</t>
  </si>
  <si>
    <t xml:space="preserve">20 V to 5–6 V buck converter for servos</t>
  </si>
  <si>
    <t xml:space="preserve">P13: servo regulator</t>
  </si>
  <si>
    <t xml:space="preserve">Order by Oct 17. Size from measured current.</t>
  </si>
  <si>
    <t xml:space="preserve">Fuse holder, fuses, barrel input jack, switch, wire</t>
  </si>
  <si>
    <t xml:space="preserve">P13: input connector, fused distribution</t>
  </si>
  <si>
    <t xml:space="preserve">Match the ASUS barrel size.</t>
  </si>
  <si>
    <t xml:space="preserve">Eyeballs (ready-made, or print and paint)</t>
  </si>
  <si>
    <t xml:space="preserve">P2: eyeballs</t>
  </si>
  <si>
    <t xml:space="preserve">About 32 mm diameter to fit EyeMech.</t>
  </si>
  <si>
    <t xml:space="preserve">Enclosure</t>
  </si>
  <si>
    <t xml:space="preserve">Clear jar, cloche or acrylic cylinder</t>
  </si>
  <si>
    <t xml:space="preserve">P14: transparent enclosure</t>
  </si>
  <si>
    <t xml:space="preserve">Size once head dimensions are set.</t>
  </si>
  <si>
    <t xml:space="preserve">Audio</t>
  </si>
  <si>
    <t xml:space="preserve">USB microphone</t>
  </si>
  <si>
    <t xml:space="preserve">P12: microphone</t>
  </si>
  <si>
    <t xml:space="preserve">Speaker and small amplifier</t>
  </si>
  <si>
    <t xml:space="preserve">P12: speaker &amp; amp</t>
  </si>
  <si>
    <t xml:space="preserve">Rigid Wrap plaster bandage w/ header, 8 in</t>
  </si>
  <si>
    <t xml:space="preserve">Arrived</t>
  </si>
  <si>
    <t xml:space="preserve">Wed Oct 21</t>
  </si>
  <si>
    <t xml:space="preserve">Blick (Savannah)</t>
  </si>
  <si>
    <t xml:space="preserve">P8: mold sections</t>
  </si>
  <si>
    <t xml:space="preserve">Receipt 10/21, ticket 610. Price after Blick discount; tax is its share of the $4.28.</t>
  </si>
  <si>
    <t xml:space="preserve">Smooth-On Dragon Skin FX-Pro</t>
  </si>
  <si>
    <t xml:space="preserve">Receipt 10/21. May cover the Ecoflex 00-30 'To buy' row.</t>
  </si>
  <si>
    <t xml:space="preserve">Smooth-On Ease Release 200 spray, 12 oz</t>
  </si>
  <si>
    <t xml:space="preserve">Receipt 10/21.</t>
  </si>
  <si>
    <t xml:space="preserve">Pro Grade 1 in chip brushes, 24-pack</t>
  </si>
  <si>
    <t xml:space="preserve">Fri Oct 23</t>
  </si>
  <si>
    <t xml:space="preserve">Cart price, before tax.</t>
  </si>
  <si>
    <t xml:space="preserve">Pro Grade 3/8 in acid brushes, 36-count</t>
  </si>
  <si>
    <t xml:space="preserve">MAXUS 500 g x 0.01 g pocket scale</t>
  </si>
  <si>
    <t xml:space="preserve">Zinsser Bulls Eye shellac spray, 12 oz</t>
  </si>
  <si>
    <t xml:space="preserve">Sat Oct 24</t>
  </si>
  <si>
    <t xml:space="preserve">P8: seal mold</t>
  </si>
  <si>
    <t xml:space="preserve">Mold sealer. Cart price, before tax.</t>
  </si>
  <si>
    <t xml:space="preserve">3M Aura 9205+ N95 respirator, 3-pack</t>
  </si>
  <si>
    <t xml:space="preserve">For mixing Ultracal (silica). Cart price, before tax.</t>
  </si>
  <si>
    <t xml:space="preserve">Cab-O-Sil fumed silica thickener, 1 qt</t>
  </si>
  <si>
    <t xml:space="preserve">MedPride nitrile gloves, medium, 100</t>
  </si>
  <si>
    <t xml:space="preserve">Master Airbrush Cool Runner II airbrush kit</t>
  </si>
  <si>
    <t xml:space="preserve">P11: skin painting</t>
  </si>
  <si>
    <t xml:space="preserve">Smooth-On THI-VEX silicone thickener, 1 oz</t>
  </si>
  <si>
    <t xml:space="preserve">Mon Oct 26</t>
  </si>
  <si>
    <t xml:space="preserve">#11 scalpel handle + 20 blades</t>
  </si>
  <si>
    <t xml:space="preserve">P9: trim flashing</t>
  </si>
  <si>
    <t xml:space="preserve">OVERTURE TPU 95A filament, 1.75 mm, 1 kg, black</t>
  </si>
  <si>
    <t xml:space="preserve">https://www.amazon.com/dp/B07VDP2S3P</t>
  </si>
  <si>
    <t xml:space="preserve">Brow bars (PLAN Q18)</t>
  </si>
  <si>
    <t xml:space="preserve">In Amazon cart Oct 23, not ordered yet. Cart price, before tax. External spool on the P2S, not the AMS.</t>
  </si>
  <si>
    <t xml:space="preserve">Sew-on snaps 5/7/8 mm, silver brass, 72 sets</t>
  </si>
  <si>
    <t xml:space="preserve">Sun Oct 25</t>
  </si>
  <si>
    <t xml:space="preserve">https://www.amazon.com/dp/B0DFX6XR74</t>
  </si>
  <si>
    <t xml:space="preserve">In Amazon cart Oct 23, not ordered yet. Cart price, before tax. 7 mm default, 8 mm step-up. Showed Sat with qty 1.</t>
  </si>
  <si>
    <t xml:space="preserve">Sew-on snaps 10 mm, silver brass, 36 sets</t>
  </si>
  <si>
    <t xml:space="preserve">https://www.amazon.com/dp/B0DFX5GZKF</t>
  </si>
  <si>
    <t xml:space="preserve">In Amazon cart Oct 23, not ordered yet. Cart price, before tax. Chin and fixed skin points.</t>
  </si>
  <si>
    <t xml:space="preserve">Mandala Crafts bonded nylon thread, Tex 70, cream</t>
  </si>
  <si>
    <t xml:space="preserve">https://www.amazon.com/dp/B00JU6OO8O</t>
  </si>
  <si>
    <t xml:space="preserve">In Amazon cart Oct 23, not ordered yet. Cart price, before tax. Sewing snaps to the pads.</t>
  </si>
  <si>
    <t xml:space="preserve">Etekcity digital luggage scale</t>
  </si>
  <si>
    <t xml:space="preserve">https://www.amazon.com/dp/B082LYC2TN</t>
  </si>
  <si>
    <t xml:space="preserve">In Amazon cart Oct 23, not ordered yet. Cart price, before tax. Snap pull-off and pad tear-out tests.</t>
  </si>
  <si>
    <t xml:space="preserve">Smooth-On Sil-Poxy silicone adhesive, 0.5 oz</t>
  </si>
  <si>
    <t xml:space="preserve">https://www.amazon.com/dp/B00NGZHGFI</t>
  </si>
  <si>
    <t xml:space="preserve">In Amazon cart Oct 23, not ordered yet. Cart price, before tax. Re-bonding a pad to cured skin.</t>
  </si>
  <si>
    <t xml:space="preserve">Zinsser Bulls Eye clear shellac spray, 12 oz</t>
  </si>
  <si>
    <t xml:space="preserve">Home Depot (DoorDash)</t>
  </si>
  <si>
    <t xml:space="preserve">DoorDash order 10/24 3:27 PM, \$38.15 total. Shipping &amp; tax is this item's share of \$9.77 (delivery \$0.49, service \$5.85, tax \$2.43, tip \$1.00). Same item as row 35 (Amazon); cancel or return that one if this arrives first.</t>
  </si>
  <si>
    <t xml:space="preserve">HDX 9 x 12 ft clear plastic drop cloths, 6-pack</t>
  </si>
  <si>
    <t xml:space="preserve">DoorDash order 10/24 3:27 PM, \$38.15 total. Shipping &amp; tax is this item's share of \$9.77 (delivery \$0.49, service \$5.85, tax \$2.43, tip \$1.00).</t>
  </si>
  <si>
    <t xml:space="preserve">Categories</t>
  </si>
  <si>
    <t xml:space="preserve">Edit this list to add categories; the Purchases dropdown and Budget table use 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</si>
</sst>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A24"/>
        <bgColor rgb="FF333300"/>
      </patternFill>
    </fill>
    <fill>
      <patternFill patternType="solid">
        <fgColor rgb="FFEEF1EA"/>
        <bgColor rgb="FFE3F0D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EC4"/>
      </bottom>
      <diagonal/>
    </border>
    <border diagonalUp="false" diagonalDown="false">
      <left/>
      <right/>
      <top style="thin">
        <color rgb="FF1F2A2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24"/>
          <bgColor rgb="FF000000"/>
        </patternFill>
      </fill>
    </dxf>
    <dxf>
      <fill>
        <patternFill patternType="solid">
          <fgColor rgb="FFE3F0DF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FF4D6"/>
        </patternFill>
      </fill>
    </dxf>
    <dxf>
      <fill>
        <patternFill>
          <bgColor rgb="FFE3F0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C4"/>
      <rgbColor rgb="FF808080"/>
      <rgbColor rgb="FF9999FF"/>
      <rgbColor rgb="FF993366"/>
      <rgbColor rgb="FFFFF4D6"/>
      <rgbColor rgb="FFEE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0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mazon.com/dp/B07VDP2S3P" TargetMode="External"/><Relationship Id="rId2" Type="http://schemas.openxmlformats.org/officeDocument/2006/relationships/hyperlink" Target="https://www.amazon.com/dp/B0DFX6XR74" TargetMode="External"/><Relationship Id="rId3" Type="http://schemas.openxmlformats.org/officeDocument/2006/relationships/hyperlink" Target="https://www.amazon.com/dp/B0DFX5GZKF" TargetMode="External"/><Relationship Id="rId4" Type="http://schemas.openxmlformats.org/officeDocument/2006/relationships/hyperlink" Target="https://www.amazon.com/dp/B00JU6OO8O" TargetMode="External"/><Relationship Id="rId5" Type="http://schemas.openxmlformats.org/officeDocument/2006/relationships/hyperlink" Target="https://www.amazon.com/dp/B082LYC2TN" TargetMode="External"/><Relationship Id="rId6" Type="http://schemas.openxmlformats.org/officeDocument/2006/relationships/hyperlink" Target="https://www.amazon.com/dp/B00NGZHGFI" TargetMode="External"/><Relationship Id="rId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3" t="s">
        <v>3</v>
      </c>
    </row>
    <row r="5" customFormat="false" ht="15" hidden="false" customHeight="true" outlineLevel="0" collapsed="false">
      <c r="A5" s="4" t="s">
        <v>4</v>
      </c>
      <c r="B5" s="6" t="n">
        <f aca="false">SUMIFS(Purchases!$F$5:$F$80,Purchases!$G$5:$G$80,"Ordered")+SUMIFS(Purchases!$F$5:$F$80,Purchases!$G$5:$G$80,"Arrived")</f>
        <v>323.66</v>
      </c>
    </row>
    <row r="6" customFormat="false" ht="15" hidden="false" customHeight="true" outlineLevel="0" collapsed="false">
      <c r="A6" s="4" t="s">
        <v>5</v>
      </c>
      <c r="B6" s="6" t="n">
        <f aca="false">SUMIFS(Purchases!$F$5:$F$80,Purchases!$G$5:$G$80,"To buy")</f>
        <v>91.53</v>
      </c>
    </row>
    <row r="7" customFormat="false" ht="15" hidden="false" customHeight="true" outlineLevel="0" collapsed="false">
      <c r="A7" s="7" t="s">
        <v>6</v>
      </c>
      <c r="B7" s="6" t="n">
        <f aca="false">B5+B6</f>
        <v>415.19</v>
      </c>
    </row>
    <row r="8" customFormat="false" ht="15" hidden="false" customHeight="true" outlineLevel="0" collapsed="false">
      <c r="A8" s="7" t="s">
        <v>7</v>
      </c>
      <c r="B8" s="6" t="str">
        <f aca="false">IF(B4="","",B4-B7)</f>
        <v/>
      </c>
    </row>
    <row r="9" customFormat="false" ht="15" hidden="false" customHeight="true" outlineLevel="0" collapsed="false">
      <c r="A9" s="4" t="s">
        <v>8</v>
      </c>
      <c r="B9" s="8" t="n">
        <f aca="false">SUMPRODUCT((Purchases!$G$5:$G$80&lt;&gt;"Returned")*(Purchases!$G$5:$G$80&lt;&gt;"")*(Purchases!$D$5:$D$80=""))</f>
        <v>24</v>
      </c>
    </row>
    <row r="10" customFormat="false" ht="15" hidden="false" customHeight="true" outlineLevel="0" collapsed="false">
      <c r="A10" s="4" t="s">
        <v>9</v>
      </c>
      <c r="B10" s="8" t="n">
        <f aca="false">COUNTIF(Purchases!$G$5:$G$80,"To buy")</f>
        <v>16</v>
      </c>
    </row>
    <row r="13" customFormat="false" ht="15" hidden="false" customHeight="true" outlineLevel="0" collapsed="false">
      <c r="A13" s="9" t="s">
        <v>10</v>
      </c>
    </row>
    <row r="14" customFormat="false" ht="15" hidden="false" customHeight="true" outlineLevel="0" collapsed="false">
      <c r="A14" s="10" t="s">
        <v>11</v>
      </c>
      <c r="B14" s="10" t="s">
        <v>12</v>
      </c>
      <c r="C14" s="10" t="s">
        <v>13</v>
      </c>
      <c r="D14" s="10" t="s">
        <v>14</v>
      </c>
      <c r="E14" s="10" t="s">
        <v>15</v>
      </c>
    </row>
    <row r="15" customFormat="false" ht="15" hidden="false" customHeight="true" outlineLevel="0" collapsed="false">
      <c r="A15" s="4" t="str">
        <f aca="false">Lists!A2</f>
        <v>Servos</v>
      </c>
      <c r="B15" s="11" t="n">
        <f aca="false">SUMIFS(Purchases!$F$5:$F$80,Purchases!$A$5:$A$80,A15,Purchases!$G$5:$G$80,"Ordered")+SUMIFS(Purchases!$F$5:$F$80,Purchases!$A$5:$A$80,A15,Purchases!$G$5:$G$80,"Arrived")</f>
        <v>0</v>
      </c>
      <c r="C15" s="11" t="n">
        <f aca="false">SUMIFS(Purchases!$F$5:$F$80,Purchases!$A$5:$A$80,A15,Purchases!$G$5:$G$80,"To buy")</f>
        <v>0</v>
      </c>
      <c r="D15" s="11" t="n">
        <f aca="false">B15+C15</f>
        <v>0</v>
      </c>
      <c r="E15" s="12" t="n">
        <f aca="false">SUMPRODUCT((Purchases!$A$5:$A$80=A15)*(Purchases!$G$5:$G$80&lt;&gt;"Returned")*(Purchases!$D$5:$D$80=""))</f>
        <v>2</v>
      </c>
    </row>
    <row r="16" customFormat="false" ht="15" hidden="false" customHeight="true" outlineLevel="0" collapsed="false">
      <c r="A16" s="13" t="str">
        <f aca="false">Lists!A3</f>
        <v>Electronics</v>
      </c>
      <c r="B16" s="14" t="n">
        <f aca="false">SUMIFS(Purchases!$F$5:$F$80,Purchases!$A$5:$A$80,A16,Purchases!$G$5:$G$80,"Ordered")+SUMIFS(Purchases!$F$5:$F$80,Purchases!$A$5:$A$80,A16,Purchases!$G$5:$G$80,"Arrived")</f>
        <v>0</v>
      </c>
      <c r="C16" s="14" t="n">
        <f aca="false">SUMIFS(Purchases!$F$5:$F$80,Purchases!$A$5:$A$80,A16,Purchases!$G$5:$G$80,"To buy")</f>
        <v>0</v>
      </c>
      <c r="D16" s="14" t="n">
        <f aca="false">B16+C16</f>
        <v>0</v>
      </c>
      <c r="E16" s="15" t="n">
        <f aca="false">SUMPRODUCT((Purchases!$A$5:$A$80=A16)*(Purchases!$G$5:$G$80&lt;&gt;"Returned")*(Purchases!$D$5:$D$80=""))</f>
        <v>3</v>
      </c>
    </row>
    <row r="17" customFormat="false" ht="15" hidden="false" customHeight="true" outlineLevel="0" collapsed="false">
      <c r="A17" s="4" t="str">
        <f aca="false">Lists!A4</f>
        <v>Power</v>
      </c>
      <c r="B17" s="11" t="n">
        <f aca="false">SUMIFS(Purchases!$F$5:$F$80,Purchases!$A$5:$A$80,A17,Purchases!$G$5:$G$80,"Ordered")+SUMIFS(Purchases!$F$5:$F$80,Purchases!$A$5:$A$80,A17,Purchases!$G$5:$G$80,"Arrived")</f>
        <v>0</v>
      </c>
      <c r="C17" s="11" t="n">
        <f aca="false">SUMIFS(Purchases!$F$5:$F$80,Purchases!$A$5:$A$80,A17,Purchases!$G$5:$G$80,"To buy")</f>
        <v>0</v>
      </c>
      <c r="D17" s="11" t="n">
        <f aca="false">B17+C17</f>
        <v>0</v>
      </c>
      <c r="E17" s="12" t="n">
        <f aca="false">SUMPRODUCT((Purchases!$A$5:$A$80=A17)*(Purchases!$G$5:$G$80&lt;&gt;"Returned")*(Purchases!$D$5:$D$80=""))</f>
        <v>2</v>
      </c>
    </row>
    <row r="18" customFormat="false" ht="15" hidden="false" customHeight="true" outlineLevel="0" collapsed="false">
      <c r="A18" s="13" t="str">
        <f aca="false">Lists!A5</f>
        <v>Audio</v>
      </c>
      <c r="B18" s="14" t="n">
        <f aca="false">SUMIFS(Purchases!$F$5:$F$80,Purchases!$A$5:$A$80,A18,Purchases!$G$5:$G$80,"Ordered")+SUMIFS(Purchases!$F$5:$F$80,Purchases!$A$5:$A$80,A18,Purchases!$G$5:$G$80,"Arrived")</f>
        <v>0</v>
      </c>
      <c r="C18" s="14" t="n">
        <f aca="false">SUMIFS(Purchases!$F$5:$F$80,Purchases!$A$5:$A$80,A18,Purchases!$G$5:$G$80,"To buy")</f>
        <v>0</v>
      </c>
      <c r="D18" s="14" t="n">
        <f aca="false">B18+C18</f>
        <v>0</v>
      </c>
      <c r="E18" s="15" t="n">
        <f aca="false">SUMPRODUCT((Purchases!$A$5:$A$80=A18)*(Purchases!$G$5:$G$80&lt;&gt;"Returned")*(Purchases!$D$5:$D$80=""))</f>
        <v>2</v>
      </c>
    </row>
    <row r="19" customFormat="false" ht="15" hidden="false" customHeight="true" outlineLevel="0" collapsed="false">
      <c r="A19" s="4" t="str">
        <f aca="false">Lists!A6</f>
        <v>Hardware</v>
      </c>
      <c r="B19" s="11" t="n">
        <f aca="false">SUMIFS(Purchases!$F$5:$F$80,Purchases!$A$5:$A$80,A19,Purchases!$G$5:$G$80,"Ordered")+SUMIFS(Purchases!$F$5:$F$80,Purchases!$A$5:$A$80,A19,Purchases!$G$5:$G$80,"Arrived")</f>
        <v>0</v>
      </c>
      <c r="C19" s="11" t="n">
        <f aca="false">SUMIFS(Purchases!$F$5:$F$80,Purchases!$A$5:$A$80,A19,Purchases!$G$5:$G$80,"To buy")</f>
        <v>50.69</v>
      </c>
      <c r="D19" s="11" t="n">
        <f aca="false">B19+C19</f>
        <v>50.69</v>
      </c>
      <c r="E19" s="12" t="n">
        <f aca="false">SUMPRODUCT((Purchases!$A$5:$A$80=A19)*(Purchases!$G$5:$G$80&lt;&gt;"Returned")*(Purchases!$D$5:$D$80=""))</f>
        <v>3</v>
      </c>
    </row>
    <row r="20" customFormat="false" ht="15" hidden="false" customHeight="true" outlineLevel="0" collapsed="false">
      <c r="A20" s="13" t="str">
        <f aca="false">Lists!A7</f>
        <v>Silicone &amp; skin</v>
      </c>
      <c r="B20" s="14" t="n">
        <f aca="false">SUMIFS(Purchases!$F$5:$F$80,Purchases!$A$5:$A$80,A20,Purchases!$G$5:$G$80,"Ordered")+SUMIFS(Purchases!$F$5:$F$80,Purchases!$A$5:$A$80,A20,Purchases!$G$5:$G$80,"Arrived")</f>
        <v>58.53</v>
      </c>
      <c r="C20" s="14" t="n">
        <f aca="false">SUMIFS(Purchases!$F$5:$F$80,Purchases!$A$5:$A$80,A20,Purchases!$G$5:$G$80,"To buy")</f>
        <v>30.98</v>
      </c>
      <c r="D20" s="14" t="n">
        <f aca="false">B20+C20</f>
        <v>89.51</v>
      </c>
      <c r="E20" s="15" t="n">
        <f aca="false">SUMPRODUCT((Purchases!$A$5:$A$80=A20)*(Purchases!$G$5:$G$80&lt;&gt;"Returned")*(Purchases!$D$5:$D$80=""))</f>
        <v>4</v>
      </c>
    </row>
    <row r="21" customFormat="false" ht="15" hidden="false" customHeight="true" outlineLevel="0" collapsed="false">
      <c r="A21" s="4" t="str">
        <f aca="false">Lists!A8</f>
        <v>Mold-making</v>
      </c>
      <c r="B21" s="11" t="n">
        <f aca="false">SUMIFS(Purchases!$F$5:$F$80,Purchases!$A$5:$A$80,A21,Purchases!$G$5:$G$80,"Ordered")+SUMIFS(Purchases!$F$5:$F$80,Purchases!$A$5:$A$80,A21,Purchases!$G$5:$G$80,"Arrived")</f>
        <v>63.91</v>
      </c>
      <c r="C21" s="11" t="n">
        <f aca="false">SUMIFS(Purchases!$F$5:$F$80,Purchases!$A$5:$A$80,A21,Purchases!$G$5:$G$80,"To buy")</f>
        <v>0</v>
      </c>
      <c r="D21" s="11" t="n">
        <f aca="false">B21+C21</f>
        <v>63.91</v>
      </c>
      <c r="E21" s="12" t="n">
        <f aca="false">SUMPRODUCT((Purchases!$A$5:$A$80=A21)*(Purchases!$G$5:$G$80&lt;&gt;"Returned")*(Purchases!$D$5:$D$80=""))</f>
        <v>1</v>
      </c>
    </row>
    <row r="22" customFormat="false" ht="15" hidden="false" customHeight="true" outlineLevel="0" collapsed="false">
      <c r="A22" s="13" t="str">
        <f aca="false">Lists!A9</f>
        <v>Sculpting</v>
      </c>
      <c r="B22" s="14" t="n">
        <f aca="false">SUMIFS(Purchases!$F$5:$F$80,Purchases!$A$5:$A$80,A22,Purchases!$G$5:$G$80,"Ordered")+SUMIFS(Purchases!$F$5:$F$80,Purchases!$A$5:$A$80,A22,Purchases!$G$5:$G$80,"Arrived")</f>
        <v>0</v>
      </c>
      <c r="C22" s="14" t="n">
        <f aca="false">SUMIFS(Purchases!$F$5:$F$80,Purchases!$A$5:$A$80,A22,Purchases!$G$5:$G$80,"To buy")</f>
        <v>0</v>
      </c>
      <c r="D22" s="14" t="n">
        <f aca="false">B22+C22</f>
        <v>0</v>
      </c>
      <c r="E22" s="15" t="n">
        <f aca="false">SUMPRODUCT((Purchases!$A$5:$A$80=A22)*(Purchases!$G$5:$G$80&lt;&gt;"Returned")*(Purchases!$D$5:$D$80=""))</f>
        <v>1</v>
      </c>
    </row>
    <row r="23" customFormat="false" ht="15" hidden="false" customHeight="true" outlineLevel="0" collapsed="false">
      <c r="A23" s="4" t="str">
        <f aca="false">Lists!A10</f>
        <v>Finishing</v>
      </c>
      <c r="B23" s="11" t="n">
        <f aca="false">SUMIFS(Purchases!$F$5:$F$80,Purchases!$A$5:$A$80,A23,Purchases!$G$5:$G$80,"Ordered")+SUMIFS(Purchases!$F$5:$F$80,Purchases!$A$5:$A$80,A23,Purchases!$G$5:$G$80,"Arrived")</f>
        <v>129.99</v>
      </c>
      <c r="C23" s="11" t="n">
        <f aca="false">SUMIFS(Purchases!$F$5:$F$80,Purchases!$A$5:$A$80,A23,Purchases!$G$5:$G$80,"To buy")</f>
        <v>0</v>
      </c>
      <c r="D23" s="11" t="n">
        <f aca="false">B23+C23</f>
        <v>129.99</v>
      </c>
      <c r="E23" s="12" t="n">
        <f aca="false">SUMPRODUCT((Purchases!$A$5:$A$80=A23)*(Purchases!$G$5:$G$80&lt;&gt;"Returned")*(Purchases!$D$5:$D$80=""))</f>
        <v>3</v>
      </c>
    </row>
    <row r="24" customFormat="false" ht="15" hidden="false" customHeight="true" outlineLevel="0" collapsed="false">
      <c r="A24" s="13" t="str">
        <f aca="false">Lists!A11</f>
        <v>Enclosure</v>
      </c>
      <c r="B24" s="14" t="n">
        <f aca="false">SUMIFS(Purchases!$F$5:$F$80,Purchases!$A$5:$A$80,A24,Purchases!$G$5:$G$80,"Ordered")+SUMIFS(Purchases!$F$5:$F$80,Purchases!$A$5:$A$80,A24,Purchases!$G$5:$G$80,"Arrived")</f>
        <v>0</v>
      </c>
      <c r="C24" s="14" t="n">
        <f aca="false">SUMIFS(Purchases!$F$5:$F$80,Purchases!$A$5:$A$80,A24,Purchases!$G$5:$G$80,"To buy")</f>
        <v>0</v>
      </c>
      <c r="D24" s="14" t="n">
        <f aca="false">B24+C24</f>
        <v>0</v>
      </c>
      <c r="E24" s="15" t="n">
        <f aca="false">SUMPRODUCT((Purchases!$A$5:$A$80=A24)*(Purchases!$G$5:$G$80&lt;&gt;"Returned")*(Purchases!$D$5:$D$80=""))</f>
        <v>1</v>
      </c>
    </row>
    <row r="25" customFormat="false" ht="15" hidden="false" customHeight="true" outlineLevel="0" collapsed="false">
      <c r="A25" s="4" t="str">
        <f aca="false">Lists!A12</f>
        <v>Tools &amp; workshop</v>
      </c>
      <c r="B25" s="11" t="n">
        <f aca="false">SUMIFS(Purchases!$F$5:$F$80,Purchases!$A$5:$A$80,A25,Purchases!$G$5:$G$80,"Ordered")+SUMIFS(Purchases!$F$5:$F$80,Purchases!$A$5:$A$80,A25,Purchases!$G$5:$G$80,"Arrived")</f>
        <v>71.23</v>
      </c>
      <c r="C25" s="11" t="n">
        <f aca="false">SUMIFS(Purchases!$F$5:$F$80,Purchases!$A$5:$A$80,A25,Purchases!$G$5:$G$80,"To buy")</f>
        <v>9.86</v>
      </c>
      <c r="D25" s="11" t="n">
        <f aca="false">B25+C25</f>
        <v>81.09</v>
      </c>
      <c r="E25" s="12" t="n">
        <f aca="false">SUMPRODUCT((Purchases!$A$5:$A$80=A25)*(Purchases!$G$5:$G$80&lt;&gt;"Returned")*(Purchases!$D$5:$D$80=""))</f>
        <v>2</v>
      </c>
    </row>
    <row r="26" customFormat="false" ht="15" hidden="false" customHeight="true" outlineLevel="0" collapsed="false">
      <c r="A26" s="7" t="s">
        <v>16</v>
      </c>
      <c r="B26" s="16" t="n">
        <f aca="false">SUM(B15:B25)</f>
        <v>323.66</v>
      </c>
      <c r="C26" s="16" t="n">
        <f aca="false">SUM(C15:C25)</f>
        <v>91.53</v>
      </c>
      <c r="D26" s="16" t="n">
        <f aca="false">SUM(D15:D25)</f>
        <v>415.19</v>
      </c>
      <c r="E26" s="17" t="n">
        <f aca="false">SUM(E15:E25)</f>
        <v>24</v>
      </c>
    </row>
    <row r="28" customFormat="false" ht="15" hidden="false" customHeight="true" outlineLevel="0" collapsed="false">
      <c r="A28" s="3" t="s">
        <v>17</v>
      </c>
    </row>
    <row r="29" customFormat="false" ht="15" hidden="false" customHeight="true" outlineLevel="0" collapsed="false">
      <c r="A29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44"/>
    <col collapsed="false" customWidth="true" hidden="false" outlineLevel="0" max="3" min="3" style="1" width="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30"/>
    <col collapsed="false" customWidth="true" hidden="false" outlineLevel="0" max="11" min="11" style="1" width="32"/>
    <col collapsed="false" customWidth="true" hidden="false" outlineLevel="0" max="12" min="12" style="1" width="46"/>
  </cols>
  <sheetData>
    <row r="1" customFormat="false" ht="17.2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30" hidden="false" customHeight="true" outlineLevel="0" collapsed="false">
      <c r="A4" s="18" t="s">
        <v>11</v>
      </c>
      <c r="B4" s="18" t="s">
        <v>21</v>
      </c>
      <c r="C4" s="18" t="s">
        <v>22</v>
      </c>
      <c r="D4" s="18" t="s">
        <v>23</v>
      </c>
      <c r="E4" s="18" t="s">
        <v>24</v>
      </c>
      <c r="F4" s="18" t="s">
        <v>14</v>
      </c>
      <c r="G4" s="18" t="s">
        <v>25</v>
      </c>
      <c r="H4" s="18" t="s">
        <v>26</v>
      </c>
      <c r="I4" s="18" t="s">
        <v>27</v>
      </c>
      <c r="J4" s="18" t="s">
        <v>28</v>
      </c>
      <c r="K4" s="18" t="s">
        <v>29</v>
      </c>
      <c r="L4" s="18" t="s">
        <v>30</v>
      </c>
    </row>
    <row r="5" customFormat="false" ht="15" hidden="false" customHeight="true" outlineLevel="0" collapsed="false">
      <c r="A5" s="19" t="s">
        <v>31</v>
      </c>
      <c r="B5" s="19" t="s">
        <v>32</v>
      </c>
      <c r="C5" s="20" t="n">
        <v>1</v>
      </c>
      <c r="D5" s="21"/>
      <c r="E5" s="21"/>
      <c r="F5" s="6" t="str">
        <f aca="false">IF(AND(D5="",E5=""),"",C5*D5+E5)</f>
        <v/>
      </c>
      <c r="G5" s="19" t="s">
        <v>33</v>
      </c>
      <c r="H5" s="19" t="s">
        <v>34</v>
      </c>
      <c r="I5" s="19" t="s">
        <v>35</v>
      </c>
      <c r="J5" s="20"/>
      <c r="K5" s="19" t="s">
        <v>36</v>
      </c>
      <c r="L5" s="22" t="s">
        <v>37</v>
      </c>
    </row>
    <row r="6" customFormat="false" ht="15" hidden="false" customHeight="true" outlineLevel="0" collapsed="false">
      <c r="A6" s="19" t="s">
        <v>38</v>
      </c>
      <c r="B6" s="19" t="s">
        <v>39</v>
      </c>
      <c r="C6" s="20" t="n">
        <v>2</v>
      </c>
      <c r="D6" s="21"/>
      <c r="E6" s="21"/>
      <c r="F6" s="6" t="str">
        <f aca="false">IF(AND(D6="",E6=""),"",C6*D6+E6)</f>
        <v/>
      </c>
      <c r="G6" s="19" t="s">
        <v>33</v>
      </c>
      <c r="H6" s="19" t="s">
        <v>34</v>
      </c>
      <c r="I6" s="19" t="s">
        <v>35</v>
      </c>
      <c r="J6" s="20"/>
      <c r="K6" s="19" t="s">
        <v>40</v>
      </c>
      <c r="L6" s="22"/>
    </row>
    <row r="7" customFormat="false" ht="26.25" hidden="false" customHeight="true" outlineLevel="0" collapsed="false">
      <c r="A7" s="19" t="s">
        <v>41</v>
      </c>
      <c r="B7" s="19" t="s">
        <v>42</v>
      </c>
      <c r="C7" s="20" t="n">
        <v>1</v>
      </c>
      <c r="D7" s="21"/>
      <c r="E7" s="21"/>
      <c r="F7" s="6" t="str">
        <f aca="false">IF(AND(D7="",E7=""),"",C7*D7+E7)</f>
        <v/>
      </c>
      <c r="G7" s="19" t="s">
        <v>33</v>
      </c>
      <c r="H7" s="19" t="s">
        <v>34</v>
      </c>
      <c r="I7" s="19" t="s">
        <v>35</v>
      </c>
      <c r="J7" s="20"/>
      <c r="K7" s="19" t="s">
        <v>43</v>
      </c>
      <c r="L7" s="22" t="s">
        <v>44</v>
      </c>
    </row>
    <row r="8" customFormat="false" ht="15" hidden="false" customHeight="true" outlineLevel="0" collapsed="false">
      <c r="A8" s="19" t="s">
        <v>45</v>
      </c>
      <c r="B8" s="19" t="s">
        <v>46</v>
      </c>
      <c r="C8" s="20" t="n">
        <v>1</v>
      </c>
      <c r="D8" s="21"/>
      <c r="E8" s="21"/>
      <c r="F8" s="6" t="str">
        <f aca="false">IF(AND(D8="",E8=""),"",C8*D8+E8)</f>
        <v/>
      </c>
      <c r="G8" s="19" t="s">
        <v>33</v>
      </c>
      <c r="H8" s="19" t="s">
        <v>34</v>
      </c>
      <c r="I8" s="19" t="s">
        <v>35</v>
      </c>
      <c r="J8" s="20"/>
      <c r="K8" s="19"/>
      <c r="L8" s="22"/>
    </row>
    <row r="9" customFormat="false" ht="15" hidden="false" customHeight="true" outlineLevel="0" collapsed="false">
      <c r="A9" s="19" t="s">
        <v>41</v>
      </c>
      <c r="B9" s="19" t="s">
        <v>47</v>
      </c>
      <c r="C9" s="20" t="n">
        <v>1</v>
      </c>
      <c r="D9" s="21"/>
      <c r="E9" s="21"/>
      <c r="F9" s="6" t="str">
        <f aca="false">IF(AND(D9="",E9=""),"",C9*D9+E9)</f>
        <v/>
      </c>
      <c r="G9" s="19" t="s">
        <v>33</v>
      </c>
      <c r="H9" s="19" t="s">
        <v>34</v>
      </c>
      <c r="I9" s="19" t="s">
        <v>35</v>
      </c>
      <c r="J9" s="20"/>
      <c r="K9" s="19" t="s">
        <v>43</v>
      </c>
      <c r="L9" s="22"/>
    </row>
    <row r="10" customFormat="false" ht="15" hidden="false" customHeight="true" outlineLevel="0" collapsed="false">
      <c r="A10" s="19" t="s">
        <v>31</v>
      </c>
      <c r="B10" s="19" t="s">
        <v>48</v>
      </c>
      <c r="C10" s="20" t="n">
        <v>1</v>
      </c>
      <c r="D10" s="21"/>
      <c r="E10" s="21"/>
      <c r="F10" s="6" t="str">
        <f aca="false">IF(AND(D10="",E10=""),"",C10*D10+E10)</f>
        <v/>
      </c>
      <c r="G10" s="19" t="s">
        <v>33</v>
      </c>
      <c r="H10" s="19" t="s">
        <v>34</v>
      </c>
      <c r="I10" s="19" t="s">
        <v>35</v>
      </c>
      <c r="J10" s="20"/>
      <c r="K10" s="19" t="s">
        <v>36</v>
      </c>
      <c r="L10" s="22" t="s">
        <v>49</v>
      </c>
    </row>
    <row r="11" customFormat="false" ht="15" hidden="false" customHeight="true" outlineLevel="0" collapsed="false">
      <c r="A11" s="19" t="s">
        <v>50</v>
      </c>
      <c r="B11" s="19" t="s">
        <v>51</v>
      </c>
      <c r="C11" s="20" t="n">
        <v>1</v>
      </c>
      <c r="D11" s="21"/>
      <c r="E11" s="21"/>
      <c r="F11" s="6" t="str">
        <f aca="false">IF(AND(D11="",E11=""),"",C11*D11+E11)</f>
        <v/>
      </c>
      <c r="G11" s="19" t="s">
        <v>33</v>
      </c>
      <c r="H11" s="19"/>
      <c r="I11" s="19" t="s">
        <v>35</v>
      </c>
      <c r="J11" s="20"/>
      <c r="K11" s="19" t="s">
        <v>52</v>
      </c>
      <c r="L11" s="22" t="s">
        <v>53</v>
      </c>
    </row>
    <row r="12" customFormat="false" ht="15" hidden="false" customHeight="true" outlineLevel="0" collapsed="false">
      <c r="A12" s="19" t="s">
        <v>38</v>
      </c>
      <c r="B12" s="19" t="s">
        <v>54</v>
      </c>
      <c r="C12" s="20" t="n">
        <v>1</v>
      </c>
      <c r="D12" s="21"/>
      <c r="E12" s="21"/>
      <c r="F12" s="6" t="str">
        <f aca="false">IF(AND(D12="",E12=""),"",C12*D12+E12)</f>
        <v/>
      </c>
      <c r="G12" s="19" t="s">
        <v>33</v>
      </c>
      <c r="H12" s="19" t="s">
        <v>55</v>
      </c>
      <c r="I12" s="19" t="s">
        <v>35</v>
      </c>
      <c r="J12" s="20"/>
      <c r="K12" s="19"/>
      <c r="L12" s="22"/>
    </row>
    <row r="13" customFormat="false" ht="15" hidden="false" customHeight="true" outlineLevel="0" collapsed="false">
      <c r="A13" s="19" t="s">
        <v>38</v>
      </c>
      <c r="B13" s="19" t="s">
        <v>56</v>
      </c>
      <c r="C13" s="20" t="n">
        <v>1</v>
      </c>
      <c r="D13" s="21"/>
      <c r="E13" s="21"/>
      <c r="F13" s="6" t="str">
        <f aca="false">IF(AND(D13="",E13=""),"",C13*D13+E13)</f>
        <v/>
      </c>
      <c r="G13" s="19" t="s">
        <v>33</v>
      </c>
      <c r="H13" s="19" t="s">
        <v>55</v>
      </c>
      <c r="I13" s="19" t="s">
        <v>35</v>
      </c>
      <c r="J13" s="20"/>
      <c r="K13" s="19"/>
      <c r="L13" s="22"/>
    </row>
    <row r="14" customFormat="false" ht="15" hidden="false" customHeight="true" outlineLevel="0" collapsed="false">
      <c r="A14" s="19" t="s">
        <v>50</v>
      </c>
      <c r="B14" s="19" t="s">
        <v>57</v>
      </c>
      <c r="C14" s="20" t="n">
        <v>1</v>
      </c>
      <c r="D14" s="21"/>
      <c r="E14" s="21"/>
      <c r="F14" s="6" t="str">
        <f aca="false">IF(AND(D14="",E14=""),"",C14*D14+E14)</f>
        <v/>
      </c>
      <c r="G14" s="19" t="s">
        <v>33</v>
      </c>
      <c r="H14" s="19" t="s">
        <v>55</v>
      </c>
      <c r="I14" s="19" t="s">
        <v>35</v>
      </c>
      <c r="J14" s="20"/>
      <c r="K14" s="19" t="s">
        <v>58</v>
      </c>
      <c r="L14" s="22"/>
    </row>
    <row r="15" customFormat="false" ht="15" hidden="false" customHeight="true" outlineLevel="0" collapsed="false">
      <c r="A15" s="19" t="s">
        <v>59</v>
      </c>
      <c r="B15" s="19" t="s">
        <v>60</v>
      </c>
      <c r="C15" s="20" t="n">
        <v>2</v>
      </c>
      <c r="D15" s="21"/>
      <c r="E15" s="21"/>
      <c r="F15" s="6" t="str">
        <f aca="false">IF(AND(D15="",E15=""),"",C15*D15+E15)</f>
        <v/>
      </c>
      <c r="G15" s="19" t="s">
        <v>33</v>
      </c>
      <c r="H15" s="19" t="s">
        <v>55</v>
      </c>
      <c r="I15" s="19" t="s">
        <v>35</v>
      </c>
      <c r="J15" s="20"/>
      <c r="K15" s="19" t="s">
        <v>61</v>
      </c>
      <c r="L15" s="22" t="s">
        <v>62</v>
      </c>
    </row>
    <row r="16" customFormat="false" ht="15" hidden="false" customHeight="true" outlineLevel="0" collapsed="false">
      <c r="A16" s="19" t="s">
        <v>59</v>
      </c>
      <c r="B16" s="19" t="s">
        <v>63</v>
      </c>
      <c r="C16" s="20" t="n">
        <v>1</v>
      </c>
      <c r="D16" s="21"/>
      <c r="E16" s="21"/>
      <c r="F16" s="6" t="str">
        <f aca="false">IF(AND(D16="",E16=""),"",C16*D16+E16)</f>
        <v/>
      </c>
      <c r="G16" s="19" t="s">
        <v>33</v>
      </c>
      <c r="H16" s="19" t="s">
        <v>55</v>
      </c>
      <c r="I16" s="19" t="s">
        <v>35</v>
      </c>
      <c r="J16" s="20"/>
      <c r="K16" s="19" t="s">
        <v>61</v>
      </c>
      <c r="L16" s="22"/>
    </row>
    <row r="17" customFormat="false" ht="15" hidden="false" customHeight="true" outlineLevel="0" collapsed="false">
      <c r="A17" s="19" t="s">
        <v>64</v>
      </c>
      <c r="B17" s="19" t="s">
        <v>65</v>
      </c>
      <c r="C17" s="20" t="n">
        <v>1</v>
      </c>
      <c r="D17" s="21"/>
      <c r="E17" s="21"/>
      <c r="F17" s="6" t="str">
        <f aca="false">IF(AND(D17="",E17=""),"",C17*D17+E17)</f>
        <v/>
      </c>
      <c r="G17" s="19" t="s">
        <v>33</v>
      </c>
      <c r="H17" s="19" t="s">
        <v>55</v>
      </c>
      <c r="I17" s="19" t="s">
        <v>35</v>
      </c>
      <c r="J17" s="20"/>
      <c r="K17" s="19" t="s">
        <v>66</v>
      </c>
      <c r="L17" s="22" t="s">
        <v>67</v>
      </c>
    </row>
    <row r="18" customFormat="false" ht="26.25" hidden="false" customHeight="true" outlineLevel="0" collapsed="false">
      <c r="A18" s="19" t="s">
        <v>41</v>
      </c>
      <c r="B18" s="19" t="s">
        <v>68</v>
      </c>
      <c r="C18" s="20" t="n">
        <v>1</v>
      </c>
      <c r="D18" s="21"/>
      <c r="E18" s="21"/>
      <c r="F18" s="6" t="str">
        <f aca="false">IF(AND(D18="",E18=""),"",C18*D18+E18)</f>
        <v/>
      </c>
      <c r="G18" s="19" t="s">
        <v>33</v>
      </c>
      <c r="H18" s="19"/>
      <c r="I18" s="19"/>
      <c r="J18" s="20"/>
      <c r="K18" s="19" t="s">
        <v>69</v>
      </c>
      <c r="L18" s="22" t="s">
        <v>70</v>
      </c>
    </row>
    <row r="19" customFormat="false" ht="26.25" hidden="false" customHeight="true" outlineLevel="0" collapsed="false">
      <c r="A19" s="19" t="s">
        <v>31</v>
      </c>
      <c r="B19" s="19" t="inlineStr">
        <is>
          <t>Ecoflex 00-30 (or PlatSil Gel-OO30): NOT BUYING</t>
        </is>
      </c>
      <c r="C19" s="20" t="n">
        <v>1</v>
      </c>
      <c r="D19" s="21"/>
      <c r="E19" s="21"/>
      <c r="F19" s="6" t="str">
        <f aca="false">IF(AND(D19="",E19=""),"",C19*D19+E19)</f>
        <v/>
      </c>
      <c r="G19" s="19"/>
      <c r="H19" s="19"/>
      <c r="I19" s="19"/>
      <c r="J19" s="20"/>
      <c r="K19" s="19" t="s">
        <v>73</v>
      </c>
      <c r="L19" s="22" t="inlineStr">
        <is>
          <t>Replaced by Dragon Skin FX-Pro (row 30), the project's skin silicone from 10/24 (PLAN D21). Status left blank so it drops out of the totals.</t>
        </is>
      </c>
    </row>
    <row r="20" customFormat="false" ht="15" hidden="false" customHeight="true" outlineLevel="0" collapsed="false">
      <c r="A20" s="19" t="s">
        <v>31</v>
      </c>
      <c r="B20" s="19" t="s">
        <v>75</v>
      </c>
      <c r="C20" s="20" t="n">
        <v>1</v>
      </c>
      <c r="D20" s="21"/>
      <c r="E20" s="21"/>
      <c r="F20" s="6" t="str">
        <f aca="false">IF(AND(D20="",E20=""),"",C20*D20+E20)</f>
        <v/>
      </c>
      <c r="G20" s="19" t="s">
        <v>72</v>
      </c>
      <c r="H20" s="19"/>
      <c r="I20" s="19"/>
      <c r="J20" s="20"/>
      <c r="K20" s="19" t="s">
        <v>76</v>
      </c>
      <c r="L20" s="22" t="inlineStr">
        <is>
          <t>Mostly covered: Ease Release 200 (row 31), Cab-O-Sil (37), THI-VEX (40). Still to buy: a SAFE mold sealer (acrylic spray e.g. Krylon Crystal Clear, or petroleum jelly). Not shellac.</t>
        </is>
      </c>
    </row>
    <row r="21" customFormat="false" ht="15" hidden="false" customHeight="true" outlineLevel="0" collapsed="false">
      <c r="A21" s="19" t="s">
        <v>45</v>
      </c>
      <c r="B21" s="19" t="s">
        <v>78</v>
      </c>
      <c r="C21" s="20" t="n">
        <v>1</v>
      </c>
      <c r="D21" s="21"/>
      <c r="E21" s="21"/>
      <c r="F21" s="6" t="str">
        <f aca="false">IF(AND(D21="",E21=""),"",C21*D21+E21)</f>
        <v/>
      </c>
      <c r="G21" s="19" t="s">
        <v>72</v>
      </c>
      <c r="H21" s="19"/>
      <c r="I21" s="19"/>
      <c r="J21" s="20"/>
      <c r="K21" s="19" t="s">
        <v>79</v>
      </c>
      <c r="L21" s="22" t="s">
        <v>77</v>
      </c>
    </row>
    <row r="22" customFormat="false" ht="15" hidden="false" customHeight="true" outlineLevel="0" collapsed="false">
      <c r="A22" s="19" t="s">
        <v>80</v>
      </c>
      <c r="B22" s="19" t="inlineStr">
        <is>
          <t>Monster Clay, 6 lb</t>
        </is>
      </c>
      <c r="C22" s="20" t="n">
        <v>1</v>
      </c>
      <c r="D22" s="21"/>
      <c r="E22" s="21"/>
      <c r="F22" s="6" t="str">
        <f aca="false">IF(AND(D22="",E22=""),"",C22*D22+E22)</f>
        <v/>
      </c>
      <c r="G22" s="19" t="s">
        <v>104</v>
      </c>
      <c r="H22" s="19"/>
      <c r="I22" s="19"/>
      <c r="J22" s="20"/>
      <c r="K22" s="19" t="s">
        <v>82</v>
      </c>
      <c r="L22" s="22" t="inlineStr">
        <is>
          <t>Bought Oct 15 (Michaels); price not recorded. The face is sculpted in it.</t>
        </is>
      </c>
    </row>
    <row r="23" customFormat="false" ht="15" hidden="false" customHeight="true" outlineLevel="0" collapsed="false">
      <c r="A23" s="19" t="s">
        <v>84</v>
      </c>
      <c r="B23" s="19" t="s">
        <v>85</v>
      </c>
      <c r="C23" s="20" t="n">
        <v>1</v>
      </c>
      <c r="D23" s="21"/>
      <c r="E23" s="21"/>
      <c r="F23" s="6" t="str">
        <f aca="false">IF(AND(D23="",E23=""),"",C23*D23+E23)</f>
        <v/>
      </c>
      <c r="G23" s="19" t="s">
        <v>72</v>
      </c>
      <c r="H23" s="19"/>
      <c r="I23" s="19"/>
      <c r="J23" s="20"/>
      <c r="K23" s="19" t="s">
        <v>86</v>
      </c>
      <c r="L23" s="22" t="s">
        <v>87</v>
      </c>
    </row>
    <row r="24" customFormat="false" ht="15" hidden="false" customHeight="true" outlineLevel="0" collapsed="false">
      <c r="A24" s="19" t="s">
        <v>84</v>
      </c>
      <c r="B24" s="19" t="s">
        <v>88</v>
      </c>
      <c r="C24" s="20" t="n">
        <v>1</v>
      </c>
      <c r="D24" s="21"/>
      <c r="E24" s="21"/>
      <c r="F24" s="6" t="str">
        <f aca="false">IF(AND(D24="",E24=""),"",C24*D24+E24)</f>
        <v/>
      </c>
      <c r="G24" s="19" t="s">
        <v>72</v>
      </c>
      <c r="H24" s="19"/>
      <c r="I24" s="19"/>
      <c r="J24" s="20"/>
      <c r="K24" s="19" t="s">
        <v>89</v>
      </c>
      <c r="L24" s="22" t="s">
        <v>90</v>
      </c>
    </row>
    <row r="25" customFormat="false" ht="15" hidden="false" customHeight="true" outlineLevel="0" collapsed="false">
      <c r="A25" s="19" t="s">
        <v>50</v>
      </c>
      <c r="B25" s="19" t="s">
        <v>91</v>
      </c>
      <c r="C25" s="20" t="n">
        <v>2</v>
      </c>
      <c r="D25" s="21"/>
      <c r="E25" s="21"/>
      <c r="F25" s="6" t="str">
        <f aca="false">IF(AND(D25="",E25=""),"",C25*D25+E25)</f>
        <v/>
      </c>
      <c r="G25" s="19" t="s">
        <v>72</v>
      </c>
      <c r="H25" s="19"/>
      <c r="I25" s="19"/>
      <c r="J25" s="20"/>
      <c r="K25" s="19" t="s">
        <v>92</v>
      </c>
      <c r="L25" s="22" t="s">
        <v>93</v>
      </c>
    </row>
    <row r="26" customFormat="false" ht="15" hidden="false" customHeight="true" outlineLevel="0" collapsed="false">
      <c r="A26" s="19" t="s">
        <v>94</v>
      </c>
      <c r="B26" s="19" t="s">
        <v>95</v>
      </c>
      <c r="C26" s="20" t="n">
        <v>1</v>
      </c>
      <c r="D26" s="21"/>
      <c r="E26" s="21"/>
      <c r="F26" s="6" t="str">
        <f aca="false">IF(AND(D26="",E26=""),"",C26*D26+E26)</f>
        <v/>
      </c>
      <c r="G26" s="19" t="s">
        <v>72</v>
      </c>
      <c r="H26" s="19"/>
      <c r="I26" s="19"/>
      <c r="J26" s="20"/>
      <c r="K26" s="19" t="s">
        <v>96</v>
      </c>
      <c r="L26" s="22" t="s">
        <v>97</v>
      </c>
    </row>
    <row r="27" customFormat="false" ht="15" hidden="false" customHeight="true" outlineLevel="0" collapsed="false">
      <c r="A27" s="19" t="s">
        <v>98</v>
      </c>
      <c r="B27" s="19" t="s">
        <v>99</v>
      </c>
      <c r="C27" s="20" t="n">
        <v>1</v>
      </c>
      <c r="D27" s="21"/>
      <c r="E27" s="21"/>
      <c r="F27" s="6" t="str">
        <f aca="false">IF(AND(D27="",E27=""),"",C27*D27+E27)</f>
        <v/>
      </c>
      <c r="G27" s="19" t="s">
        <v>72</v>
      </c>
      <c r="H27" s="19"/>
      <c r="I27" s="19"/>
      <c r="J27" s="20"/>
      <c r="K27" s="19" t="s">
        <v>100</v>
      </c>
      <c r="L27" s="22"/>
    </row>
    <row r="28" customFormat="false" ht="15" hidden="false" customHeight="true" outlineLevel="0" collapsed="false">
      <c r="A28" s="19" t="s">
        <v>98</v>
      </c>
      <c r="B28" s="19" t="s">
        <v>101</v>
      </c>
      <c r="C28" s="20" t="n">
        <v>1</v>
      </c>
      <c r="D28" s="21"/>
      <c r="E28" s="21"/>
      <c r="F28" s="6" t="str">
        <f aca="false">IF(AND(D28="",E28=""),"",C28*D28+E28)</f>
        <v/>
      </c>
      <c r="G28" s="19" t="s">
        <v>72</v>
      </c>
      <c r="H28" s="19"/>
      <c r="I28" s="19"/>
      <c r="J28" s="20"/>
      <c r="K28" s="19" t="s">
        <v>102</v>
      </c>
      <c r="L28" s="22"/>
    </row>
    <row r="29" customFormat="false" ht="15" hidden="false" customHeight="true" outlineLevel="0" collapsed="false">
      <c r="A29" s="19" t="s">
        <v>64</v>
      </c>
      <c r="B29" s="19" t="s">
        <v>103</v>
      </c>
      <c r="C29" s="20" t="n">
        <v>1</v>
      </c>
      <c r="D29" s="21" t="n">
        <v>11.51</v>
      </c>
      <c r="E29" s="21" t="n">
        <v>0.81</v>
      </c>
      <c r="F29" s="6" t="n">
        <f aca="false">IF(AND(D29="",E29=""),"",C29*D29+E29)</f>
        <v>12.32</v>
      </c>
      <c r="G29" s="19" t="s">
        <v>104</v>
      </c>
      <c r="H29" s="19" t="s">
        <v>105</v>
      </c>
      <c r="I29" s="19" t="s">
        <v>106</v>
      </c>
      <c r="J29" s="20"/>
      <c r="K29" s="19" t="s">
        <v>107</v>
      </c>
      <c r="L29" s="22" t="s">
        <v>108</v>
      </c>
    </row>
    <row r="30" customFormat="false" ht="15" hidden="false" customHeight="true" outlineLevel="0" collapsed="false">
      <c r="A30" s="19" t="s">
        <v>31</v>
      </c>
      <c r="B30" s="19" t="s">
        <v>109</v>
      </c>
      <c r="C30" s="20" t="n">
        <v>1</v>
      </c>
      <c r="D30" s="21" t="n">
        <v>35.09</v>
      </c>
      <c r="E30" s="21" t="n">
        <v>2.46</v>
      </c>
      <c r="F30" s="6" t="n">
        <f aca="false">IF(AND(D30="",E30=""),"",C30*D30+E30)</f>
        <v>37.55</v>
      </c>
      <c r="G30" s="19" t="s">
        <v>104</v>
      </c>
      <c r="H30" s="19" t="s">
        <v>105</v>
      </c>
      <c r="I30" s="19" t="s">
        <v>106</v>
      </c>
      <c r="J30" s="20"/>
      <c r="K30" s="19" t="s">
        <v>73</v>
      </c>
      <c r="L30" s="22" t="inlineStr">
        <is>
          <t>Receipt 10/21. THE skin silicone for the project (PLAN D21, 10/24): snap coupons and face casts. Replaces the Ecoflex 00-30 row (19).</t>
        </is>
      </c>
    </row>
    <row r="31" customFormat="false" ht="15" hidden="false" customHeight="true" outlineLevel="0" collapsed="false">
      <c r="A31" s="19" t="s">
        <v>64</v>
      </c>
      <c r="B31" s="19" t="s">
        <v>111</v>
      </c>
      <c r="C31" s="20" t="n">
        <v>1</v>
      </c>
      <c r="D31" s="21" t="n">
        <v>14.39</v>
      </c>
      <c r="E31" s="21" t="n">
        <v>1.01</v>
      </c>
      <c r="F31" s="6" t="n">
        <f aca="false">IF(AND(D31="",E31=""),"",C31*D31+E31)</f>
        <v>15.4</v>
      </c>
      <c r="G31" s="19" t="s">
        <v>104</v>
      </c>
      <c r="H31" s="19" t="s">
        <v>105</v>
      </c>
      <c r="I31" s="19" t="s">
        <v>106</v>
      </c>
      <c r="J31" s="20"/>
      <c r="K31" s="19" t="s">
        <v>76</v>
      </c>
      <c r="L31" s="22" t="s">
        <v>112</v>
      </c>
    </row>
    <row r="32" customFormat="false" ht="15" hidden="false" customHeight="true" outlineLevel="0" collapsed="false">
      <c r="A32" s="19" t="s">
        <v>45</v>
      </c>
      <c r="B32" s="19" t="s">
        <v>113</v>
      </c>
      <c r="C32" s="20" t="n">
        <v>1</v>
      </c>
      <c r="D32" s="21" t="n">
        <v>11.99</v>
      </c>
      <c r="E32" s="21"/>
      <c r="F32" s="6" t="n">
        <f aca="false">IF(AND(D32="",E32=""),"",C32*D32+E32)</f>
        <v>11.99</v>
      </c>
      <c r="G32" s="19" t="s">
        <v>33</v>
      </c>
      <c r="H32" s="19" t="s">
        <v>114</v>
      </c>
      <c r="I32" s="19" t="s">
        <v>35</v>
      </c>
      <c r="J32" s="20"/>
      <c r="K32" s="19" t="s">
        <v>79</v>
      </c>
      <c r="L32" s="22" t="s">
        <v>115</v>
      </c>
    </row>
    <row r="33" customFormat="false" ht="15" hidden="false" customHeight="true" outlineLevel="0" collapsed="false">
      <c r="A33" s="19" t="s">
        <v>45</v>
      </c>
      <c r="B33" s="19" t="s">
        <v>116</v>
      </c>
      <c r="C33" s="20" t="n">
        <v>1</v>
      </c>
      <c r="D33" s="21" t="n">
        <v>6.49</v>
      </c>
      <c r="E33" s="21"/>
      <c r="F33" s="6" t="n">
        <f aca="false">IF(AND(D33="",E33=""),"",C33*D33+E33)</f>
        <v>6.49</v>
      </c>
      <c r="G33" s="19" t="s">
        <v>33</v>
      </c>
      <c r="H33" s="19" t="s">
        <v>114</v>
      </c>
      <c r="I33" s="19" t="s">
        <v>35</v>
      </c>
      <c r="J33" s="20"/>
      <c r="K33" s="19" t="s">
        <v>79</v>
      </c>
      <c r="L33" s="22" t="s">
        <v>115</v>
      </c>
    </row>
    <row r="34" customFormat="false" ht="15" hidden="false" customHeight="true" outlineLevel="0" collapsed="false">
      <c r="A34" s="19" t="s">
        <v>45</v>
      </c>
      <c r="B34" s="19" t="s">
        <v>117</v>
      </c>
      <c r="C34" s="20" t="n">
        <v>1</v>
      </c>
      <c r="D34" s="21" t="n">
        <v>8.98</v>
      </c>
      <c r="E34" s="21"/>
      <c r="F34" s="6" t="n">
        <f aca="false">IF(AND(D34="",E34=""),"",C34*D34+E34)</f>
        <v>8.98</v>
      </c>
      <c r="G34" s="19" t="s">
        <v>33</v>
      </c>
      <c r="H34" s="19" t="s">
        <v>114</v>
      </c>
      <c r="I34" s="19" t="s">
        <v>35</v>
      </c>
      <c r="J34" s="20"/>
      <c r="K34" s="19" t="s">
        <v>79</v>
      </c>
      <c r="L34" s="22" t="s">
        <v>115</v>
      </c>
    </row>
    <row r="35" customFormat="false" ht="15" hidden="false" customHeight="true" outlineLevel="0" collapsed="false">
      <c r="A35" s="19" t="s">
        <v>64</v>
      </c>
      <c r="B35" s="19" t="s">
        <v>118</v>
      </c>
      <c r="C35" s="20" t="n">
        <v>1</v>
      </c>
      <c r="D35" s="21" t="n">
        <v>14.96</v>
      </c>
      <c r="E35" s="21"/>
      <c r="F35" s="6" t="n">
        <f aca="false">IF(AND(D35="",E35=""),"",C35*D35+E35)</f>
        <v>14.96</v>
      </c>
      <c r="G35" s="19" t="s">
        <v>33</v>
      </c>
      <c r="H35" s="19" t="s">
        <v>119</v>
      </c>
      <c r="I35" s="19" t="s">
        <v>35</v>
      </c>
      <c r="J35" s="20"/>
      <c r="K35" s="19" t="s">
        <v>120</v>
      </c>
      <c r="L35" s="22" t="inlineStr">
        <is>
          <t>DO NOT USE ON THE MOLD: Smooth-On says shellac makes silicone bond (10/24). Delayed to Mon 10/26; cancel or return.</t>
        </is>
      </c>
    </row>
    <row r="36" customFormat="false" ht="15" hidden="false" customHeight="true" outlineLevel="0" collapsed="false">
      <c r="A36" s="19" t="s">
        <v>45</v>
      </c>
      <c r="B36" s="19" t="s">
        <v>122</v>
      </c>
      <c r="C36" s="20" t="n">
        <v>1</v>
      </c>
      <c r="D36" s="21" t="n">
        <v>9.97</v>
      </c>
      <c r="E36" s="21"/>
      <c r="F36" s="6" t="n">
        <f aca="false">IF(AND(D36="",E36=""),"",C36*D36+E36)</f>
        <v>9.97</v>
      </c>
      <c r="G36" s="19" t="s">
        <v>33</v>
      </c>
      <c r="H36" s="19" t="s">
        <v>114</v>
      </c>
      <c r="I36" s="19" t="s">
        <v>35</v>
      </c>
      <c r="J36" s="20"/>
      <c r="K36" s="19" t="s">
        <v>107</v>
      </c>
      <c r="L36" s="22" t="s">
        <v>123</v>
      </c>
    </row>
    <row r="37" customFormat="false" ht="15" hidden="false" customHeight="true" outlineLevel="0" collapsed="false">
      <c r="A37" s="19" t="s">
        <v>31</v>
      </c>
      <c r="B37" s="19" t="s">
        <v>124</v>
      </c>
      <c r="C37" s="20" t="n">
        <v>1</v>
      </c>
      <c r="D37" s="21" t="n">
        <v>12.99</v>
      </c>
      <c r="E37" s="21"/>
      <c r="F37" s="6" t="n">
        <f aca="false">IF(AND(D37="",E37=""),"",C37*D37+E37)</f>
        <v>12.99</v>
      </c>
      <c r="G37" s="19" t="s">
        <v>33</v>
      </c>
      <c r="H37" s="19" t="s">
        <v>114</v>
      </c>
      <c r="I37" s="19" t="s">
        <v>35</v>
      </c>
      <c r="J37" s="20"/>
      <c r="K37" s="19" t="s">
        <v>76</v>
      </c>
      <c r="L37" s="22" t="s">
        <v>115</v>
      </c>
    </row>
    <row r="38" customFormat="false" ht="15" hidden="false" customHeight="true" outlineLevel="0" collapsed="false">
      <c r="A38" s="19" t="s">
        <v>45</v>
      </c>
      <c r="B38" s="19" t="s">
        <v>125</v>
      </c>
      <c r="C38" s="20" t="n">
        <v>1</v>
      </c>
      <c r="D38" s="21" t="n">
        <v>9.99</v>
      </c>
      <c r="E38" s="21"/>
      <c r="F38" s="6" t="n">
        <f aca="false">IF(AND(D38="",E38=""),"",C38*D38+E38)</f>
        <v>9.99</v>
      </c>
      <c r="G38" s="19" t="s">
        <v>33</v>
      </c>
      <c r="H38" s="19" t="s">
        <v>114</v>
      </c>
      <c r="I38" s="19" t="s">
        <v>35</v>
      </c>
      <c r="J38" s="20"/>
      <c r="K38" s="19" t="s">
        <v>79</v>
      </c>
      <c r="L38" s="22" t="s">
        <v>115</v>
      </c>
    </row>
    <row r="39" customFormat="false" ht="15" hidden="false" customHeight="true" outlineLevel="0" collapsed="false">
      <c r="A39" s="19" t="s">
        <v>50</v>
      </c>
      <c r="B39" s="19" t="s">
        <v>126</v>
      </c>
      <c r="C39" s="20" t="n">
        <v>1</v>
      </c>
      <c r="D39" s="21" t="n">
        <v>129.99</v>
      </c>
      <c r="E39" s="21"/>
      <c r="F39" s="6" t="n">
        <f aca="false">IF(AND(D39="",E39=""),"",C39*D39+E39)</f>
        <v>129.99</v>
      </c>
      <c r="G39" s="19" t="s">
        <v>33</v>
      </c>
      <c r="H39" s="19" t="s">
        <v>114</v>
      </c>
      <c r="I39" s="19" t="s">
        <v>35</v>
      </c>
      <c r="J39" s="20"/>
      <c r="K39" s="19" t="s">
        <v>127</v>
      </c>
      <c r="L39" s="22" t="s">
        <v>115</v>
      </c>
    </row>
    <row r="40" customFormat="false" ht="15" hidden="false" customHeight="true" outlineLevel="0" collapsed="false">
      <c r="A40" s="19" t="s">
        <v>31</v>
      </c>
      <c r="B40" s="19" t="s">
        <v>128</v>
      </c>
      <c r="C40" s="20" t="n">
        <v>1</v>
      </c>
      <c r="D40" s="21" t="n">
        <v>7.99</v>
      </c>
      <c r="E40" s="21"/>
      <c r="F40" s="6" t="n">
        <f aca="false">IF(AND(D40="",E40=""),"",C40*D40+E40)</f>
        <v>7.99</v>
      </c>
      <c r="G40" s="19" t="s">
        <v>33</v>
      </c>
      <c r="H40" s="19" t="s">
        <v>129</v>
      </c>
      <c r="I40" s="19" t="s">
        <v>35</v>
      </c>
      <c r="J40" s="20"/>
      <c r="K40" s="19" t="s">
        <v>76</v>
      </c>
      <c r="L40" s="22" t="s">
        <v>115</v>
      </c>
    </row>
    <row r="41" customFormat="false" ht="15" hidden="false" customHeight="true" outlineLevel="0" collapsed="false">
      <c r="A41" s="19" t="s">
        <v>45</v>
      </c>
      <c r="B41" s="19" t="s">
        <v>130</v>
      </c>
      <c r="C41" s="20" t="n">
        <v>1</v>
      </c>
      <c r="D41" s="21" t="n">
        <v>6.89</v>
      </c>
      <c r="E41" s="21"/>
      <c r="F41" s="6" t="n">
        <f aca="false">IF(AND(D41="",E41=""),"",C41*D41+E41)</f>
        <v>6.89</v>
      </c>
      <c r="G41" s="19" t="s">
        <v>33</v>
      </c>
      <c r="H41" s="19" t="s">
        <v>114</v>
      </c>
      <c r="I41" s="19" t="s">
        <v>35</v>
      </c>
      <c r="J41" s="20"/>
      <c r="K41" s="19" t="s">
        <v>131</v>
      </c>
      <c r="L41" s="22" t="s">
        <v>115</v>
      </c>
    </row>
    <row r="42" customFormat="false" ht="15" hidden="false" customHeight="true" outlineLevel="0" collapsed="false">
      <c r="A42" s="19" t="s">
        <v>41</v>
      </c>
      <c r="B42" s="19" t="s">
        <v>132</v>
      </c>
      <c r="C42" s="20" t="n">
        <v>1</v>
      </c>
      <c r="D42" s="21" t="n">
        <v>23.99</v>
      </c>
      <c r="E42" s="21"/>
      <c r="F42" s="6" t="n">
        <f aca="false">IF(AND(D42="",E42=""),"",C42*D42+E42)</f>
        <v>23.99</v>
      </c>
      <c r="G42" s="19" t="s">
        <v>72</v>
      </c>
      <c r="H42" s="19" t="s">
        <v>119</v>
      </c>
      <c r="I42" s="19" t="s">
        <v>35</v>
      </c>
      <c r="J42" s="20" t="s">
        <v>133</v>
      </c>
      <c r="K42" s="19" t="s">
        <v>134</v>
      </c>
      <c r="L42" s="22" t="s">
        <v>135</v>
      </c>
    </row>
    <row r="43" customFormat="false" ht="15" hidden="false" customHeight="true" outlineLevel="0" collapsed="false">
      <c r="A43" s="19" t="s">
        <v>41</v>
      </c>
      <c r="B43" s="19" t="s">
        <v>136</v>
      </c>
      <c r="C43" s="20" t="n">
        <v>2</v>
      </c>
      <c r="D43" s="21" t="n">
        <v>8.9</v>
      </c>
      <c r="E43" s="21"/>
      <c r="F43" s="6" t="n">
        <f aca="false">IF(AND(D43="",E43=""),"",C43*D43+E43)</f>
        <v>17.8</v>
      </c>
      <c r="G43" s="19" t="s">
        <v>72</v>
      </c>
      <c r="H43" s="19" t="s">
        <v>137</v>
      </c>
      <c r="I43" s="19" t="s">
        <v>35</v>
      </c>
      <c r="J43" s="20" t="s">
        <v>138</v>
      </c>
      <c r="K43" s="19" t="s">
        <v>69</v>
      </c>
      <c r="L43" s="22" t="s">
        <v>139</v>
      </c>
    </row>
    <row r="44" customFormat="false" ht="15" hidden="false" customHeight="true" outlineLevel="0" collapsed="false">
      <c r="A44" s="19" t="s">
        <v>41</v>
      </c>
      <c r="B44" s="19" t="s">
        <v>140</v>
      </c>
      <c r="C44" s="20" t="n">
        <v>1</v>
      </c>
      <c r="D44" s="21" t="n">
        <v>8.9</v>
      </c>
      <c r="E44" s="21"/>
      <c r="F44" s="6" t="n">
        <f aca="false">IF(AND(D44="",E44=""),"",C44*D44+E44)</f>
        <v>8.9</v>
      </c>
      <c r="G44" s="19" t="s">
        <v>72</v>
      </c>
      <c r="H44" s="19" t="s">
        <v>137</v>
      </c>
      <c r="I44" s="19" t="s">
        <v>35</v>
      </c>
      <c r="J44" s="20" t="s">
        <v>141</v>
      </c>
      <c r="K44" s="19" t="s">
        <v>69</v>
      </c>
      <c r="L44" s="22" t="s">
        <v>142</v>
      </c>
    </row>
    <row r="45" customFormat="false" ht="15" hidden="false" customHeight="true" outlineLevel="0" collapsed="false">
      <c r="A45" s="19" t="s">
        <v>31</v>
      </c>
      <c r="B45" s="19" t="s">
        <v>143</v>
      </c>
      <c r="C45" s="20" t="n">
        <v>1</v>
      </c>
      <c r="D45" s="21" t="n">
        <v>10.99</v>
      </c>
      <c r="E45" s="21"/>
      <c r="F45" s="6" t="n">
        <f aca="false">IF(AND(D45="",E45=""),"",C45*D45+E45)</f>
        <v>10.99</v>
      </c>
      <c r="G45" s="19" t="s">
        <v>72</v>
      </c>
      <c r="H45" s="19" t="s">
        <v>119</v>
      </c>
      <c r="I45" s="19" t="s">
        <v>35</v>
      </c>
      <c r="J45" s="20" t="s">
        <v>144</v>
      </c>
      <c r="K45" s="19" t="s">
        <v>36</v>
      </c>
      <c r="L45" s="22" t="s">
        <v>145</v>
      </c>
    </row>
    <row r="46" customFormat="false" ht="15" hidden="false" customHeight="true" outlineLevel="0" collapsed="false">
      <c r="A46" s="19" t="s">
        <v>45</v>
      </c>
      <c r="B46" s="19" t="s">
        <v>146</v>
      </c>
      <c r="C46" s="20" t="n">
        <v>1</v>
      </c>
      <c r="D46" s="21" t="n">
        <v>9.86</v>
      </c>
      <c r="E46" s="21"/>
      <c r="F46" s="6" t="n">
        <f aca="false">IF(AND(D46="",E46=""),"",C46*D46+E46)</f>
        <v>9.86</v>
      </c>
      <c r="G46" s="19" t="s">
        <v>72</v>
      </c>
      <c r="H46" s="19" t="s">
        <v>137</v>
      </c>
      <c r="I46" s="19" t="s">
        <v>35</v>
      </c>
      <c r="J46" s="20" t="s">
        <v>147</v>
      </c>
      <c r="K46" s="19"/>
      <c r="L46" s="22" t="s">
        <v>148</v>
      </c>
    </row>
    <row r="47" customFormat="false" ht="15" hidden="false" customHeight="true" outlineLevel="0" collapsed="false">
      <c r="A47" s="19" t="s">
        <v>31</v>
      </c>
      <c r="B47" s="19" t="s">
        <v>149</v>
      </c>
      <c r="C47" s="20" t="n">
        <v>1</v>
      </c>
      <c r="D47" s="21" t="n">
        <v>19.99</v>
      </c>
      <c r="E47" s="21"/>
      <c r="F47" s="6" t="n">
        <f aca="false">IF(AND(D47="",E47=""),"",C47*D47+E47)</f>
        <v>19.99</v>
      </c>
      <c r="G47" s="19" t="s">
        <v>72</v>
      </c>
      <c r="H47" s="19" t="s">
        <v>119</v>
      </c>
      <c r="I47" s="19" t="s">
        <v>35</v>
      </c>
      <c r="J47" s="20" t="s">
        <v>150</v>
      </c>
      <c r="K47" s="19"/>
      <c r="L47" s="22" t="s">
        <v>151</v>
      </c>
    </row>
    <row r="48" customFormat="false" ht="15" hidden="false" customHeight="true" outlineLevel="0" collapsed="false">
      <c r="A48" s="19" t="s">
        <v>64</v>
      </c>
      <c r="B48" s="19" t="s">
        <v>152</v>
      </c>
      <c r="C48" s="20" t="n">
        <v>1</v>
      </c>
      <c r="D48" s="21" t="n">
        <v>15.79</v>
      </c>
      <c r="E48" s="21" t="n">
        <v>5.44</v>
      </c>
      <c r="F48" s="6" t="n">
        <f aca="false">IF(AND(D48="",E48=""),"",C48*D48+E48)</f>
        <v>21.23</v>
      </c>
      <c r="G48" s="19" t="s">
        <v>33</v>
      </c>
      <c r="H48" s="19" t="s">
        <v>119</v>
      </c>
      <c r="I48" s="19" t="s">
        <v>153</v>
      </c>
      <c r="J48" s="20"/>
      <c r="K48" s="19" t="s">
        <v>120</v>
      </c>
      <c r="L48" s="22" t="inlineStr">
        <is>
          <t>DO NOT USE ON THE MOLD: Smooth-On says shellac makes silicone bond (10/24). Return if possible. DoorDash order 10/24 3:27 PM, $38.15 total; shipping &amp; tax is this item's share of $9.77.</t>
        </is>
      </c>
    </row>
    <row r="49" customFormat="false" ht="15" hidden="false" customHeight="true" outlineLevel="0" collapsed="false">
      <c r="A49" s="19" t="s">
        <v>45</v>
      </c>
      <c r="B49" s="19" t="s">
        <v>155</v>
      </c>
      <c r="C49" s="20" t="n">
        <v>1</v>
      </c>
      <c r="D49" s="21" t="n">
        <v>12.59</v>
      </c>
      <c r="E49" s="21" t="n">
        <v>4.33</v>
      </c>
      <c r="F49" s="6" t="n">
        <f aca="false">IF(AND(D49="",E49=""),"",C49*D49+E49)</f>
        <v>16.92</v>
      </c>
      <c r="G49" s="19" t="s">
        <v>33</v>
      </c>
      <c r="H49" s="19" t="s">
        <v>119</v>
      </c>
      <c r="I49" s="19" t="s">
        <v>153</v>
      </c>
      <c r="J49" s="20"/>
      <c r="K49" s="19" t="s">
        <v>79</v>
      </c>
      <c r="L49" s="22" t="s">
        <v>156</v>
      </c>
    </row>
    <row r="50" customFormat="false" ht="15" hidden="false" customHeight="true" outlineLevel="0" collapsed="false">
      <c r="A50" s="19"/>
      <c r="B50" s="19"/>
      <c r="C50" s="20"/>
      <c r="D50" s="21"/>
      <c r="E50" s="21"/>
      <c r="F50" s="6" t="str">
        <f aca="false">IF(AND(D50="",E50=""),"",C50*D50+E50)</f>
        <v/>
      </c>
      <c r="G50" s="19"/>
      <c r="H50" s="19"/>
      <c r="I50" s="19"/>
      <c r="J50" s="20"/>
      <c r="K50" s="19"/>
      <c r="L50" s="22"/>
    </row>
    <row r="51" customFormat="false" ht="15" hidden="false" customHeight="true" outlineLevel="0" collapsed="false">
      <c r="A51" s="19"/>
      <c r="B51" s="19"/>
      <c r="C51" s="20"/>
      <c r="D51" s="21"/>
      <c r="E51" s="21"/>
      <c r="F51" s="6" t="str">
        <f aca="false">IF(AND(D51="",E51=""),"",C51*D51+E51)</f>
        <v/>
      </c>
      <c r="G51" s="19"/>
      <c r="H51" s="19"/>
      <c r="I51" s="19"/>
      <c r="J51" s="20"/>
      <c r="K51" s="19"/>
      <c r="L51" s="22"/>
    </row>
    <row r="52" customFormat="false" ht="15" hidden="false" customHeight="true" outlineLevel="0" collapsed="false">
      <c r="A52" s="19"/>
      <c r="B52" s="19"/>
      <c r="C52" s="20"/>
      <c r="D52" s="21"/>
      <c r="E52" s="21"/>
      <c r="F52" s="6" t="str">
        <f aca="false">IF(AND(D52="",E52=""),"",C52*D52+E52)</f>
        <v/>
      </c>
      <c r="G52" s="19"/>
      <c r="H52" s="19"/>
      <c r="I52" s="19"/>
      <c r="J52" s="20"/>
      <c r="K52" s="19"/>
      <c r="L52" s="22"/>
    </row>
    <row r="53" customFormat="false" ht="15" hidden="false" customHeight="true" outlineLevel="0" collapsed="false">
      <c r="A53" s="19"/>
      <c r="B53" s="19"/>
      <c r="C53" s="20"/>
      <c r="D53" s="21"/>
      <c r="E53" s="21"/>
      <c r="F53" s="6" t="str">
        <f aca="false">IF(AND(D53="",E53=""),"",C53*D53+E53)</f>
        <v/>
      </c>
      <c r="G53" s="19"/>
      <c r="H53" s="19"/>
      <c r="I53" s="19"/>
      <c r="J53" s="20"/>
      <c r="K53" s="19"/>
      <c r="L53" s="22"/>
    </row>
    <row r="54" customFormat="false" ht="15" hidden="false" customHeight="true" outlineLevel="0" collapsed="false">
      <c r="A54" s="19"/>
      <c r="B54" s="19"/>
      <c r="C54" s="20"/>
      <c r="D54" s="21"/>
      <c r="E54" s="21"/>
      <c r="F54" s="6" t="str">
        <f aca="false">IF(AND(D54="",E54=""),"",C54*D54+E54)</f>
        <v/>
      </c>
      <c r="G54" s="19"/>
      <c r="H54" s="19"/>
      <c r="I54" s="19"/>
      <c r="J54" s="20"/>
      <c r="K54" s="19"/>
      <c r="L54" s="22"/>
    </row>
    <row r="55" customFormat="false" ht="15" hidden="false" customHeight="true" outlineLevel="0" collapsed="false">
      <c r="A55" s="19"/>
      <c r="B55" s="19"/>
      <c r="C55" s="20"/>
      <c r="D55" s="21"/>
      <c r="E55" s="21"/>
      <c r="F55" s="6" t="str">
        <f aca="false">IF(AND(D55="",E55=""),"",C55*D55+E55)</f>
        <v/>
      </c>
      <c r="G55" s="19"/>
      <c r="H55" s="19"/>
      <c r="I55" s="19"/>
      <c r="J55" s="20"/>
      <c r="K55" s="19"/>
      <c r="L55" s="22"/>
    </row>
    <row r="56" customFormat="false" ht="15" hidden="false" customHeight="true" outlineLevel="0" collapsed="false">
      <c r="A56" s="19"/>
      <c r="B56" s="19"/>
      <c r="C56" s="20"/>
      <c r="D56" s="21"/>
      <c r="E56" s="21"/>
      <c r="F56" s="6" t="str">
        <f aca="false">IF(AND(D56="",E56=""),"",C56*D56+E56)</f>
        <v/>
      </c>
      <c r="G56" s="19"/>
      <c r="H56" s="19"/>
      <c r="I56" s="19"/>
      <c r="J56" s="20"/>
      <c r="K56" s="19"/>
      <c r="L56" s="22"/>
    </row>
    <row r="57" customFormat="false" ht="15" hidden="false" customHeight="true" outlineLevel="0" collapsed="false">
      <c r="A57" s="19"/>
      <c r="B57" s="19"/>
      <c r="C57" s="20"/>
      <c r="D57" s="21"/>
      <c r="E57" s="21"/>
      <c r="F57" s="6" t="str">
        <f aca="false">IF(AND(D57="",E57=""),"",C57*D57+E57)</f>
        <v/>
      </c>
      <c r="G57" s="19"/>
      <c r="H57" s="19"/>
      <c r="I57" s="19"/>
      <c r="J57" s="20"/>
      <c r="K57" s="19"/>
      <c r="L57" s="22"/>
    </row>
    <row r="58" customFormat="false" ht="15" hidden="false" customHeight="true" outlineLevel="0" collapsed="false">
      <c r="A58" s="19"/>
      <c r="B58" s="19"/>
      <c r="C58" s="20"/>
      <c r="D58" s="21"/>
      <c r="E58" s="21"/>
      <c r="F58" s="6" t="str">
        <f aca="false">IF(AND(D58="",E58=""),"",C58*D58+E58)</f>
        <v/>
      </c>
      <c r="G58" s="19"/>
      <c r="H58" s="19"/>
      <c r="I58" s="19"/>
      <c r="J58" s="20"/>
      <c r="K58" s="19"/>
      <c r="L58" s="22"/>
    </row>
    <row r="59" customFormat="false" ht="15" hidden="false" customHeight="true" outlineLevel="0" collapsed="false">
      <c r="A59" s="19"/>
      <c r="B59" s="19"/>
      <c r="C59" s="20"/>
      <c r="D59" s="21"/>
      <c r="E59" s="21"/>
      <c r="F59" s="6" t="str">
        <f aca="false">IF(AND(D59="",E59=""),"",C59*D59+E59)</f>
        <v/>
      </c>
      <c r="G59" s="19"/>
      <c r="H59" s="19"/>
      <c r="I59" s="19"/>
      <c r="J59" s="20"/>
      <c r="K59" s="19"/>
      <c r="L59" s="22"/>
    </row>
    <row r="60" customFormat="false" ht="15" hidden="false" customHeight="true" outlineLevel="0" collapsed="false">
      <c r="A60" s="19"/>
      <c r="B60" s="19"/>
      <c r="C60" s="20"/>
      <c r="D60" s="21"/>
      <c r="E60" s="21"/>
      <c r="F60" s="6" t="str">
        <f aca="false">IF(AND(D60="",E60=""),"",C60*D60+E60)</f>
        <v/>
      </c>
      <c r="G60" s="19"/>
      <c r="H60" s="19"/>
      <c r="I60" s="19"/>
      <c r="J60" s="20"/>
      <c r="K60" s="19"/>
      <c r="L60" s="22"/>
    </row>
    <row r="61" customFormat="false" ht="15" hidden="false" customHeight="true" outlineLevel="0" collapsed="false">
      <c r="A61" s="19"/>
      <c r="B61" s="19"/>
      <c r="C61" s="20"/>
      <c r="D61" s="21"/>
      <c r="E61" s="21"/>
      <c r="F61" s="6" t="str">
        <f aca="false">IF(AND(D61="",E61=""),"",C61*D61+E61)</f>
        <v/>
      </c>
      <c r="G61" s="19"/>
      <c r="H61" s="19"/>
      <c r="I61" s="19"/>
      <c r="J61" s="20"/>
      <c r="K61" s="19"/>
      <c r="L61" s="22"/>
    </row>
    <row r="62" customFormat="false" ht="15" hidden="false" customHeight="true" outlineLevel="0" collapsed="false">
      <c r="A62" s="19"/>
      <c r="B62" s="19"/>
      <c r="C62" s="20"/>
      <c r="D62" s="21"/>
      <c r="E62" s="21"/>
      <c r="F62" s="6" t="str">
        <f aca="false">IF(AND(D62="",E62=""),"",C62*D62+E62)</f>
        <v/>
      </c>
      <c r="G62" s="19"/>
      <c r="H62" s="19"/>
      <c r="I62" s="19"/>
      <c r="J62" s="20"/>
      <c r="K62" s="19"/>
      <c r="L62" s="22"/>
    </row>
    <row r="63" customFormat="false" ht="15" hidden="false" customHeight="true" outlineLevel="0" collapsed="false">
      <c r="A63" s="19"/>
      <c r="B63" s="19"/>
      <c r="C63" s="20"/>
      <c r="D63" s="21"/>
      <c r="E63" s="21"/>
      <c r="F63" s="6" t="str">
        <f aca="false">IF(AND(D63="",E63=""),"",C63*D63+E63)</f>
        <v/>
      </c>
      <c r="G63" s="19"/>
      <c r="H63" s="19"/>
      <c r="I63" s="19"/>
      <c r="J63" s="20"/>
      <c r="K63" s="19"/>
      <c r="L63" s="22"/>
    </row>
    <row r="64" customFormat="false" ht="15" hidden="false" customHeight="true" outlineLevel="0" collapsed="false">
      <c r="A64" s="19"/>
      <c r="B64" s="19"/>
      <c r="C64" s="20"/>
      <c r="D64" s="21"/>
      <c r="E64" s="21"/>
      <c r="F64" s="6" t="str">
        <f aca="false">IF(AND(D64="",E64=""),"",C64*D64+E64)</f>
        <v/>
      </c>
      <c r="G64" s="19"/>
      <c r="H64" s="19"/>
      <c r="I64" s="19"/>
      <c r="J64" s="20"/>
      <c r="K64" s="19"/>
      <c r="L64" s="22"/>
    </row>
    <row r="65" customFormat="false" ht="15" hidden="false" customHeight="true" outlineLevel="0" collapsed="false">
      <c r="A65" s="19"/>
      <c r="B65" s="19"/>
      <c r="C65" s="20"/>
      <c r="D65" s="21"/>
      <c r="E65" s="21"/>
      <c r="F65" s="6" t="str">
        <f aca="false">IF(AND(D65="",E65=""),"",C65*D65+E65)</f>
        <v/>
      </c>
      <c r="G65" s="19"/>
      <c r="H65" s="19"/>
      <c r="I65" s="19"/>
      <c r="J65" s="20"/>
      <c r="K65" s="19"/>
      <c r="L65" s="22"/>
    </row>
    <row r="66" customFormat="false" ht="15" hidden="false" customHeight="true" outlineLevel="0" collapsed="false">
      <c r="A66" s="19"/>
      <c r="B66" s="19"/>
      <c r="C66" s="20"/>
      <c r="D66" s="21"/>
      <c r="E66" s="21"/>
      <c r="F66" s="6" t="str">
        <f aca="false">IF(AND(D66="",E66=""),"",C66*D66+E66)</f>
        <v/>
      </c>
      <c r="G66" s="19"/>
      <c r="H66" s="19"/>
      <c r="I66" s="19"/>
      <c r="J66" s="20"/>
      <c r="K66" s="19"/>
      <c r="L66" s="22"/>
    </row>
    <row r="67" customFormat="false" ht="15" hidden="false" customHeight="true" outlineLevel="0" collapsed="false">
      <c r="A67" s="19"/>
      <c r="B67" s="19"/>
      <c r="C67" s="20"/>
      <c r="D67" s="21"/>
      <c r="E67" s="21"/>
      <c r="F67" s="6" t="str">
        <f aca="false">IF(AND(D67="",E67=""),"",C67*D67+E67)</f>
        <v/>
      </c>
      <c r="G67" s="19"/>
      <c r="H67" s="19"/>
      <c r="I67" s="19"/>
      <c r="J67" s="20"/>
      <c r="K67" s="19"/>
      <c r="L67" s="22"/>
    </row>
    <row r="68" customFormat="false" ht="15" hidden="false" customHeight="true" outlineLevel="0" collapsed="false">
      <c r="A68" s="19"/>
      <c r="B68" s="19"/>
      <c r="C68" s="20"/>
      <c r="D68" s="21"/>
      <c r="E68" s="21"/>
      <c r="F68" s="6" t="str">
        <f aca="false">IF(AND(D68="",E68=""),"",C68*D68+E68)</f>
        <v/>
      </c>
      <c r="G68" s="19"/>
      <c r="H68" s="19"/>
      <c r="I68" s="19"/>
      <c r="J68" s="20"/>
      <c r="K68" s="19"/>
      <c r="L68" s="22"/>
    </row>
    <row r="69" customFormat="false" ht="15" hidden="false" customHeight="true" outlineLevel="0" collapsed="false">
      <c r="A69" s="19"/>
      <c r="B69" s="19"/>
      <c r="C69" s="20"/>
      <c r="D69" s="21"/>
      <c r="E69" s="21"/>
      <c r="F69" s="6" t="str">
        <f aca="false">IF(AND(D69="",E69=""),"",C69*D69+E69)</f>
        <v/>
      </c>
      <c r="G69" s="19"/>
      <c r="H69" s="19"/>
      <c r="I69" s="19"/>
      <c r="J69" s="20"/>
      <c r="K69" s="19"/>
      <c r="L69" s="22"/>
    </row>
    <row r="70" customFormat="false" ht="15" hidden="false" customHeight="true" outlineLevel="0" collapsed="false">
      <c r="A70" s="19"/>
      <c r="B70" s="19"/>
      <c r="C70" s="20"/>
      <c r="D70" s="21"/>
      <c r="E70" s="21"/>
      <c r="F70" s="6" t="str">
        <f aca="false">IF(AND(D70="",E70=""),"",C70*D70+E70)</f>
        <v/>
      </c>
      <c r="G70" s="19"/>
      <c r="H70" s="19"/>
      <c r="I70" s="19"/>
      <c r="J70" s="20"/>
      <c r="K70" s="19"/>
      <c r="L70" s="22"/>
    </row>
    <row r="71" customFormat="false" ht="15" hidden="false" customHeight="true" outlineLevel="0" collapsed="false">
      <c r="A71" s="19"/>
      <c r="B71" s="19"/>
      <c r="C71" s="20"/>
      <c r="D71" s="21"/>
      <c r="E71" s="21"/>
      <c r="F71" s="6" t="str">
        <f aca="false">IF(AND(D71="",E71=""),"",C71*D71+E71)</f>
        <v/>
      </c>
      <c r="G71" s="19"/>
      <c r="H71" s="19"/>
      <c r="I71" s="19"/>
      <c r="J71" s="20"/>
      <c r="K71" s="19"/>
      <c r="L71" s="22"/>
    </row>
    <row r="72" customFormat="false" ht="15" hidden="false" customHeight="true" outlineLevel="0" collapsed="false">
      <c r="A72" s="19"/>
      <c r="B72" s="19"/>
      <c r="C72" s="20"/>
      <c r="D72" s="21"/>
      <c r="E72" s="21"/>
      <c r="F72" s="6" t="str">
        <f aca="false">IF(AND(D72="",E72=""),"",C72*D72+E72)</f>
        <v/>
      </c>
      <c r="G72" s="19"/>
      <c r="H72" s="19"/>
      <c r="I72" s="19"/>
      <c r="J72" s="20"/>
      <c r="K72" s="19"/>
      <c r="L72" s="22"/>
    </row>
    <row r="73" customFormat="false" ht="15" hidden="false" customHeight="true" outlineLevel="0" collapsed="false">
      <c r="A73" s="19"/>
      <c r="B73" s="19"/>
      <c r="C73" s="20"/>
      <c r="D73" s="21"/>
      <c r="E73" s="21"/>
      <c r="F73" s="6" t="str">
        <f aca="false">IF(AND(D73="",E73=""),"",C73*D73+E73)</f>
        <v/>
      </c>
      <c r="G73" s="19"/>
      <c r="H73" s="19"/>
      <c r="I73" s="19"/>
      <c r="J73" s="20"/>
      <c r="K73" s="19"/>
      <c r="L73" s="22"/>
    </row>
    <row r="74" customFormat="false" ht="15" hidden="false" customHeight="true" outlineLevel="0" collapsed="false">
      <c r="A74" s="19"/>
      <c r="B74" s="19"/>
      <c r="C74" s="20"/>
      <c r="D74" s="21"/>
      <c r="E74" s="21"/>
      <c r="F74" s="6" t="str">
        <f aca="false">IF(AND(D74="",E74=""),"",C74*D74+E74)</f>
        <v/>
      </c>
      <c r="G74" s="19"/>
      <c r="H74" s="19"/>
      <c r="I74" s="19"/>
      <c r="J74" s="20"/>
      <c r="K74" s="19"/>
      <c r="L74" s="22"/>
    </row>
    <row r="75" customFormat="false" ht="15" hidden="false" customHeight="true" outlineLevel="0" collapsed="false">
      <c r="A75" s="19"/>
      <c r="B75" s="19"/>
      <c r="C75" s="20"/>
      <c r="D75" s="21"/>
      <c r="E75" s="21"/>
      <c r="F75" s="6" t="str">
        <f aca="false">IF(AND(D75="",E75=""),"",C75*D75+E75)</f>
        <v/>
      </c>
      <c r="G75" s="19"/>
      <c r="H75" s="19"/>
      <c r="I75" s="19"/>
      <c r="J75" s="20"/>
      <c r="K75" s="19"/>
      <c r="L75" s="22"/>
    </row>
    <row r="76" customFormat="false" ht="15" hidden="false" customHeight="true" outlineLevel="0" collapsed="false">
      <c r="A76" s="19"/>
      <c r="B76" s="19"/>
      <c r="C76" s="20"/>
      <c r="D76" s="21"/>
      <c r="E76" s="21"/>
      <c r="F76" s="6" t="str">
        <f aca="false">IF(AND(D76="",E76=""),"",C76*D76+E76)</f>
        <v/>
      </c>
      <c r="G76" s="19"/>
      <c r="H76" s="19"/>
      <c r="I76" s="19"/>
      <c r="J76" s="20"/>
      <c r="K76" s="19"/>
      <c r="L76" s="22"/>
    </row>
    <row r="77" customFormat="false" ht="15" hidden="false" customHeight="true" outlineLevel="0" collapsed="false">
      <c r="A77" s="19"/>
      <c r="B77" s="19"/>
      <c r="C77" s="20"/>
      <c r="D77" s="21"/>
      <c r="E77" s="21"/>
      <c r="F77" s="6" t="str">
        <f aca="false">IF(AND(D77="",E77=""),"",C77*D77+E77)</f>
        <v/>
      </c>
      <c r="G77" s="19"/>
      <c r="H77" s="19"/>
      <c r="I77" s="19"/>
      <c r="J77" s="20"/>
      <c r="K77" s="19"/>
      <c r="L77" s="22"/>
    </row>
    <row r="78" customFormat="false" ht="15" hidden="false" customHeight="true" outlineLevel="0" collapsed="false">
      <c r="A78" s="19"/>
      <c r="B78" s="19"/>
      <c r="C78" s="20"/>
      <c r="D78" s="21"/>
      <c r="E78" s="21"/>
      <c r="F78" s="6" t="str">
        <f aca="false">IF(AND(D78="",E78=""),"",C78*D78+E78)</f>
        <v/>
      </c>
      <c r="G78" s="19"/>
      <c r="H78" s="19"/>
      <c r="I78" s="19"/>
      <c r="J78" s="20"/>
      <c r="K78" s="19"/>
      <c r="L78" s="22"/>
    </row>
    <row r="79" customFormat="false" ht="15" hidden="false" customHeight="true" outlineLevel="0" collapsed="false">
      <c r="A79" s="19"/>
      <c r="B79" s="19"/>
      <c r="C79" s="20"/>
      <c r="D79" s="21"/>
      <c r="E79" s="21"/>
      <c r="F79" s="6" t="str">
        <f aca="false">IF(AND(D79="",E79=""),"",C79*D79+E79)</f>
        <v/>
      </c>
      <c r="G79" s="19"/>
      <c r="H79" s="19"/>
      <c r="I79" s="19"/>
      <c r="J79" s="20"/>
      <c r="K79" s="19"/>
      <c r="L79" s="22"/>
    </row>
    <row r="80" customFormat="false" ht="15" hidden="false" customHeight="true" outlineLevel="0" collapsed="false">
      <c r="A80" s="19"/>
      <c r="B80" s="19"/>
      <c r="C80" s="20"/>
      <c r="D80" s="21"/>
      <c r="E80" s="21"/>
      <c r="F80" s="6" t="str">
        <f aca="false">IF(AND(D80="",E80=""),"",C80*D80+E80)</f>
        <v/>
      </c>
      <c r="G80" s="19"/>
      <c r="H80" s="19"/>
      <c r="I80" s="19"/>
      <c r="J80" s="20"/>
      <c r="K80" s="19"/>
      <c r="L80" s="22"/>
    </row>
  </sheetData>
  <autoFilter ref="A4:L80"/>
  <conditionalFormatting sqref="A5:L80">
    <cfRule type="expression" priority="2" aboveAverage="0" equalAverage="0" bottom="0" percent="0" rank="0" text="" dxfId="6">
      <formula>$G5="To buy"</formula>
    </cfRule>
    <cfRule type="expression" priority="3" aboveAverage="0" equalAverage="0" bottom="0" percent="0" rank="0" text="" dxfId="7">
      <formula>$G5="Arrived"</formula>
    </cfRule>
  </conditionalFormatting>
  <dataValidations count="2">
    <dataValidation allowBlank="true" errorStyle="stop" operator="between" showDropDown="false" showErrorMessage="false" showInputMessage="false" sqref="G5:G80" type="list">
      <formula1>"Ordered,Arrived,To buy,Returned"</formula1>
      <formula2>0</formula2>
    </dataValidation>
    <dataValidation allowBlank="true" errorStyle="stop" operator="between" showDropDown="false" showErrorMessage="false" showInputMessage="false" sqref="A5:A80" type="list">
      <formula1>Lists!$A$2:$A$12</formula1>
      <formula2>0</formula2>
    </dataValidation>
  </dataValidations>
  <hyperlinks>
    <hyperlink ref="J42" r:id="rId1" display="https://www.amazon.com/dp/B07VDP2S3P"/>
    <hyperlink ref="J43" r:id="rId2" display="https://www.amazon.com/dp/B0DFX6XR74"/>
    <hyperlink ref="J44" r:id="rId3" display="https://www.amazon.com/dp/B0DFX5GZKF"/>
    <hyperlink ref="J45" r:id="rId4" display="https://www.amazon.com/dp/B00JU6OO8O"/>
    <hyperlink ref="J46" r:id="rId5" display="https://www.amazon.com/dp/B082LYC2TN"/>
    <hyperlink ref="J47" r:id="rId6" display="https://www.amazon.com/dp/B00NGZHGF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7" t="s">
        <v>157</v>
      </c>
      <c r="C1" s="3" t="s">
        <v>158</v>
      </c>
    </row>
    <row r="2" customFormat="false" ht="15" hidden="false" customHeight="true" outlineLevel="0" collapsed="false">
      <c r="A2" s="4" t="s">
        <v>59</v>
      </c>
    </row>
    <row r="3" customFormat="false" ht="15" hidden="false" customHeight="true" outlineLevel="0" collapsed="false">
      <c r="A3" s="4" t="s">
        <v>38</v>
      </c>
    </row>
    <row r="4" customFormat="false" ht="15" hidden="false" customHeight="true" outlineLevel="0" collapsed="false">
      <c r="A4" s="4" t="s">
        <v>84</v>
      </c>
    </row>
    <row r="5" customFormat="false" ht="15" hidden="false" customHeight="true" outlineLevel="0" collapsed="false">
      <c r="A5" s="4" t="s">
        <v>98</v>
      </c>
    </row>
    <row r="6" customFormat="false" ht="15" hidden="false" customHeight="true" outlineLevel="0" collapsed="false">
      <c r="A6" s="4" t="s">
        <v>41</v>
      </c>
    </row>
    <row r="7" customFormat="false" ht="15" hidden="false" customHeight="true" outlineLevel="0" collapsed="false">
      <c r="A7" s="4" t="s">
        <v>31</v>
      </c>
    </row>
    <row r="8" customFormat="false" ht="15" hidden="false" customHeight="true" outlineLevel="0" collapsed="false">
      <c r="A8" s="4" t="s">
        <v>64</v>
      </c>
    </row>
    <row r="9" customFormat="false" ht="15" hidden="false" customHeight="true" outlineLevel="0" collapsed="false">
      <c r="A9" s="4" t="s">
        <v>80</v>
      </c>
    </row>
    <row r="10" customFormat="false" ht="15" hidden="false" customHeight="true" outlineLevel="0" collapsed="false">
      <c r="A10" s="4" t="s">
        <v>50</v>
      </c>
    </row>
    <row r="11" customFormat="false" ht="15" hidden="false" customHeight="true" outlineLevel="0" collapsed="false">
      <c r="A11" s="4" t="s">
        <v>94</v>
      </c>
    </row>
    <row r="12" customFormat="false" ht="15" hidden="false" customHeight="true" outlineLevel="0" collapsed="false">
      <c r="A12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2026-10-15T04:58:49Z</dcterms:created>
  <dc:creator>openpyxl</dc:creator>
  <dc:description/>
  <dc:language>en-US</dc:language>
  <cp:lastModifiedBy/>
  <dcterms:modified xsi:type="dcterms:W3CDTF">2026-10-24T19:29:34Z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